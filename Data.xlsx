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ml.chartshapes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2"/>
  <workbookPr/>
  <mc:AlternateContent xmlns:mc="http://schemas.openxmlformats.org/markup-compatibility/2006">
    <mc:Choice Requires="x15">
      <x15ac:absPath xmlns:x15ac="http://schemas.microsoft.com/office/spreadsheetml/2010/11/ac" url="/Users/mac/Documents/"/>
    </mc:Choice>
  </mc:AlternateContent>
  <xr:revisionPtr revIDLastSave="0" documentId="8_{C8FAA25E-E7B7-4FD5-9C8E-78D567F7A443}" xr6:coauthVersionLast="47" xr6:coauthVersionMax="47" xr10:uidLastSave="{00000000-0000-0000-0000-000000000000}"/>
  <bookViews>
    <workbookView xWindow="5500" yWindow="4200" windowWidth="26440" windowHeight="15440" xr2:uid="{B02E41C2-4927-544D-9639-AAAC24EDA489}"/>
  </bookViews>
  <sheets>
    <sheet name="newDataset" sheetId="7" r:id="rId1"/>
    <sheet name="dataset" sheetId="1" r:id="rId2"/>
    <sheet name="data_code" sheetId="2" r:id="rId3"/>
    <sheet name="scores" sheetId="3" r:id="rId4"/>
    <sheet name="var" sheetId="4" r:id="rId5"/>
    <sheet name="scatter-wc" sheetId="5" r:id="rId6"/>
    <sheet name="scatter-c" sheetId="6" r:id="rId7"/>
  </sheets>
  <externalReferences>
    <externalReference r:id="rId8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" i="3" l="1" a="1"/>
  <c r="C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<sst xmlns="http://schemas.openxmlformats.org/spreadsheetml/2006/main" count="161" uniqueCount="62">
  <si>
    <t>ID</t>
  </si>
  <si>
    <t>country</t>
  </si>
  <si>
    <t>aiMrk</t>
  </si>
  <si>
    <t>aiProd</t>
  </si>
  <si>
    <t>aiLog</t>
  </si>
  <si>
    <t>aiFin</t>
  </si>
  <si>
    <t>diffQual</t>
  </si>
  <si>
    <t>diffSal</t>
  </si>
  <si>
    <t>ictEmp</t>
  </si>
  <si>
    <t>conEnergy</t>
  </si>
  <si>
    <t>conICT</t>
  </si>
  <si>
    <t>conEdu</t>
  </si>
  <si>
    <t>unemp</t>
  </si>
  <si>
    <t>intUse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</si>
  <si>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</si>
  <si>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</si>
  <si>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</si>
  <si>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</si>
  <si>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</si>
  <si>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</si>
  <si>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</si>
  <si>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</si>
  <si>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</si>
  <si>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</si>
  <si>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</si>
  <si>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</si>
  <si>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</si>
  <si>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</si>
  <si>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</si>
  <si>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</si>
  <si>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</si>
  <si>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</si>
  <si>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</si>
  <si>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</si>
  <si>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</si>
  <si>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</si>
  <si>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</si>
  <si>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</si>
  <si>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</si>
  <si>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</si>
  <si>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</si>
  <si>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Name</t>
  </si>
  <si>
    <t>Code</t>
  </si>
  <si>
    <t>Enterprises use AI technologies for marketing or sales</t>
  </si>
  <si>
    <t>Enterprises use AI technologies for production processes</t>
  </si>
  <si>
    <t>Enterprises use AI technologies for logistics</t>
  </si>
  <si>
    <t>Enterprises use AI technologies for accounting, controlling or finance management</t>
  </si>
  <si>
    <t>Difficulty to recruit ICT specialists: Applicants' lack of relevant ICT qualifications from education and/or training</t>
  </si>
  <si>
    <t>Difficulty to recruit ICT specialists: Applicants' salary expectations too high</t>
  </si>
  <si>
    <t>Enterprises employed ICT specialists or recruited/tried to recruit personnel for jobs requiring ICT specialist skills</t>
  </si>
  <si>
    <t>consumption expenditure for Electricity, gas and other fuels (% of GDP)</t>
  </si>
  <si>
    <t>consumption expenditure for Information and communication (% of GDP)</t>
  </si>
  <si>
    <t>consumption expenditure for Education services (% of GDP)</t>
  </si>
  <si>
    <t>Total unemployment rate</t>
  </si>
  <si>
    <t>Individuals using the internet for finding information about goods and services</t>
  </si>
  <si>
    <t>GEO (Labels)</t>
  </si>
  <si>
    <t>AI Usage</t>
  </si>
  <si>
    <t>Digital Participation &amp; IT Workforce</t>
  </si>
  <si>
    <t>ICT Employment Shortage</t>
  </si>
  <si>
    <t>Digital &amp; Energy Investment</t>
  </si>
  <si>
    <t>Rotated Factor Pattern</t>
  </si>
  <si>
    <t>Variables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</si>
</sst>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2"/>
      <color theme="1"/>
      <name val="Aptos Narrow"/>
      <family val="2"/>
      <scheme val="minor"/>
    </font>
    <font>
      <sz val="12"/>
      <color theme="8" tint="0.39997558519241921"/>
      <name val="Aptos Narrow"/>
      <family val="2"/>
      <scheme val="minor"/>
    </font>
    <font>
      <sz val="12"/>
      <color theme="6" tint="-0.249977111117893"/>
      <name val="Aptos Narrow"/>
      <family val="2"/>
      <scheme val="minor"/>
    </font>
    <font>
      <b/>
      <sz val="12"/>
      <color rgb="FF000000"/>
      <name val="Aptos Narrow"/>
      <scheme val="minor"/>
    </font>
    <font>
      <sz val="12"/>
      <color rgb="FF000000"/>
      <name val="Aptos Narrow"/>
      <family val="2"/>
      <scheme val="minor"/>
    </font>
    <font>
      <b/>
      <sz val="10"/>
      <color rgb="FF112277"/>
      <name val="Arial"/>
      <family val="2"/>
    </font>
    <font>
      <sz val="10"/>
      <color rgb="FF00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2" fontId="2" fillId="0" borderId="0" xfId="0" applyNumberFormat="1" applyFont="1" applyAlignment="1">
      <alignment wrapText="1"/>
    </xf>
    <xf numFmtId="0" fontId="1" fillId="0" borderId="0" xfId="0" applyFont="1"/>
    <xf numFmtId="2" fontId="2" fillId="0" borderId="0" xfId="0" applyNumberFormat="1" applyFont="1"/>
    <xf numFmtId="0" fontId="1" fillId="2" borderId="0" xfId="0" applyFont="1" applyFill="1"/>
    <xf numFmtId="2" fontId="2" fillId="2" borderId="0" xfId="0" applyNumberFormat="1" applyFont="1" applyFill="1"/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3" xfId="0" applyFont="1" applyBorder="1"/>
    <xf numFmtId="0" fontId="4" fillId="0" borderId="4" xfId="0" applyFont="1" applyBorder="1" applyAlignment="1">
      <alignment wrapText="1"/>
    </xf>
    <xf numFmtId="0" fontId="4" fillId="0" borderId="4" xfId="0" applyFont="1" applyBorder="1"/>
    <xf numFmtId="0" fontId="0" fillId="0" borderId="1" xfId="0" applyBorder="1"/>
    <xf numFmtId="0" fontId="0" fillId="0" borderId="1" xfId="0" applyBorder="1" applyAlignment="1">
      <alignment wrapText="1"/>
    </xf>
    <xf numFmtId="0" fontId="5" fillId="0" borderId="0" xfId="0" applyFont="1"/>
    <xf numFmtId="0" fontId="0" fillId="3" borderId="1" xfId="0" applyFill="1" applyBorder="1"/>
    <xf numFmtId="0" fontId="6" fillId="0" borderId="0" xfId="0" applyFont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1" xfId="0" applyBorder="1" applyAlignment="1">
      <alignment horizontal="center"/>
    </xf>
    <xf numFmtId="0" fontId="1" fillId="7" borderId="0" xfId="0" applyFont="1" applyFill="1"/>
    <xf numFmtId="2" fontId="0" fillId="0" borderId="0" xfId="0" applyNumberFormat="1"/>
    <xf numFmtId="2" fontId="2" fillId="8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3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scores!$P$1</c:f>
              <c:strCache>
                <c:ptCount val="1"/>
                <c:pt idx="0">
                  <c:v>Digital Participation &amp; IT Workforce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6B7E895-6A3C-446A-AE42-DAA6A4480BD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2A95-4044-BA25-A84A38A6AA28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8D491AC6-0F30-4B1C-A64F-13FA30850B0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A95-4044-BA25-A84A38A6AA28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C02EF47-8818-46E5-9F30-A5261EF03A6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A95-4044-BA25-A84A38A6AA28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CE5BDE3E-F337-484A-8D1C-57C474B2C5D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A95-4044-BA25-A84A38A6AA28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58FDAE8-58BE-457B-BA43-24E3A5271A3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A95-4044-BA25-A84A38A6AA28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1ACF607-E1AE-4F2C-A7C4-E8F4DF72A1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A95-4044-BA25-A84A38A6AA28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763D9AEF-59C8-48DB-8EEF-03BBD84DE55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A95-4044-BA25-A84A38A6AA28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9AEDCD58-8A51-414F-ADAA-F7BD8047C06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2A95-4044-BA25-A84A38A6AA28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876981A2-790D-4423-9846-3F9E691F583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2A95-4044-BA25-A84A38A6AA28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0DDF3175-0B29-4507-851B-27E198E12B5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2A95-4044-BA25-A84A38A6AA28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0455B515-96C6-4AF2-AD5A-93D172963FE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2A95-4044-BA25-A84A38A6AA28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A0A559D8-F1AC-45FC-A20F-7F0DC7A8A6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2A95-4044-BA25-A84A38A6AA28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3B6495C-796A-4E5D-B014-D8679CD2B69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2A95-4044-BA25-A84A38A6AA28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7F372AD5-2961-4B34-A365-6B12EEB897A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2A95-4044-BA25-A84A38A6AA28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B592EA84-EA9F-44BA-A22A-DF5C1D63B6E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2A95-4044-BA25-A84A38A6AA28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DDC4E68-AE8C-4281-9D51-D3277ABC33D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2A95-4044-BA25-A84A38A6AA28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5E537AFC-4F08-41FF-8A0B-E3D8C21FE62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2A95-4044-BA25-A84A38A6AA28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B3D2D24-BE08-4516-8352-9437F29990A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2A95-4044-BA25-A84A38A6AA28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6160AAE-6099-42B5-BE97-1AADD6C4E46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2A95-4044-BA25-A84A38A6AA28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454BBC3-31BC-43FB-81A2-46F2FD07E5E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2A95-4044-BA25-A84A38A6AA28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2ADA291-A00C-4C65-BB5D-B56375BFC14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2A95-4044-BA25-A84A38A6AA28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299CC40-5E11-4DF4-BC07-3FB57D76852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2A95-4044-BA25-A84A38A6AA28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06C530C-F953-4D1A-8C2B-3BF3035D021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2A95-4044-BA25-A84A38A6AA28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9734C62-B581-419A-8FF5-30C7A63EADB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2A95-4044-BA25-A84A38A6AA28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542F8849-3AC8-4299-8C02-F1EB4D5ACF7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2A95-4044-BA25-A84A38A6AA28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EF6EAAFF-B136-4984-BD5A-D35B21651FC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2A95-4044-BA25-A84A38A6AA28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FDE635D-C78D-48C7-BA16-B5EB629AAB3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2A95-4044-BA25-A84A38A6AA2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scores!$P$2:$P$28</c:f>
              <c:numCache>
                <c:formatCode>General</c:formatCode>
                <c:ptCount val="27"/>
                <c:pt idx="0">
                  <c:v>-0.26146000000000003</c:v>
                </c:pt>
                <c:pt idx="1">
                  <c:v>0.23557</c:v>
                </c:pt>
                <c:pt idx="2">
                  <c:v>-0.81781000000000004</c:v>
                </c:pt>
                <c:pt idx="3">
                  <c:v>-0.43408000000000002</c:v>
                </c:pt>
                <c:pt idx="4">
                  <c:v>2.1960299999999999</c:v>
                </c:pt>
                <c:pt idx="5">
                  <c:v>-0.41975000000000001</c:v>
                </c:pt>
                <c:pt idx="6">
                  <c:v>1.8544</c:v>
                </c:pt>
                <c:pt idx="7">
                  <c:v>-0.21967999999999999</c:v>
                </c:pt>
                <c:pt idx="8">
                  <c:v>0.81818999999999997</c:v>
                </c:pt>
                <c:pt idx="9">
                  <c:v>-0.81916999999999995</c:v>
                </c:pt>
                <c:pt idx="10">
                  <c:v>-0.44379999999999997</c:v>
                </c:pt>
                <c:pt idx="11">
                  <c:v>1.5665100000000001</c:v>
                </c:pt>
                <c:pt idx="12">
                  <c:v>0.53312000000000004</c:v>
                </c:pt>
                <c:pt idx="13">
                  <c:v>0.33794000000000002</c:v>
                </c:pt>
                <c:pt idx="14">
                  <c:v>-2.1013899999999999</c:v>
                </c:pt>
                <c:pt idx="15">
                  <c:v>-0.41269</c:v>
                </c:pt>
                <c:pt idx="16">
                  <c:v>-0.54283999999999999</c:v>
                </c:pt>
                <c:pt idx="17">
                  <c:v>-1.0101599999999999</c:v>
                </c:pt>
                <c:pt idx="18">
                  <c:v>1.18194</c:v>
                </c:pt>
                <c:pt idx="19">
                  <c:v>1.2563200000000001</c:v>
                </c:pt>
                <c:pt idx="20">
                  <c:v>-0.72165000000000001</c:v>
                </c:pt>
                <c:pt idx="21">
                  <c:v>-9.7000000000000003E-3</c:v>
                </c:pt>
                <c:pt idx="22">
                  <c:v>-1.41848</c:v>
                </c:pt>
                <c:pt idx="23">
                  <c:v>-0.55728</c:v>
                </c:pt>
                <c:pt idx="24">
                  <c:v>-0.43289</c:v>
                </c:pt>
                <c:pt idx="25">
                  <c:v>0.20055999999999999</c:v>
                </c:pt>
                <c:pt idx="26">
                  <c:v>0.44224999999999998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2A95-4044-BA25-A84A38A6AA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Digital Participation &amp; ICT workforce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scores!$Q$1</c:f>
              <c:strCache>
                <c:ptCount val="1"/>
                <c:pt idx="0">
                  <c:v>ICT Employment Shortage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78946AE0-1F99-4DD9-8C66-9D92560C134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94A6-F448-B1FD-FB862B52977B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3AF1DF95-5A11-4745-9990-776415897FA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94A6-F448-B1FD-FB862B52977B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552977E1-8002-4991-A380-23FCE7F65C6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94A6-F448-B1FD-FB862B52977B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B593F31-655C-4C6E-9B44-7801E623849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94A6-F448-B1FD-FB862B52977B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0419506-40C7-492B-A053-FC15381A86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94A6-F448-B1FD-FB862B52977B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59796067-D97B-426A-ABF8-23168CA64A0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94A6-F448-B1FD-FB862B52977B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0A642C4-4FE4-4C1E-9BDB-976E1656D1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94A6-F448-B1FD-FB862B52977B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0DFC501-0D8B-4EA2-B8C5-117226BF677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94A6-F448-B1FD-FB862B52977B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5D2E6A2-624F-4380-B767-E28CEF5B0FA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94A6-F448-B1FD-FB862B52977B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AE8AB00B-48FF-4F4D-A315-5A19EC6AEDB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94A6-F448-B1FD-FB862B52977B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4B78CEA3-1B2A-4589-B1EC-75BD665DEFE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94A6-F448-B1FD-FB862B52977B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163C970A-A3EC-4EF0-B0BC-EB9206085FE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94A6-F448-B1FD-FB862B52977B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12D1EC91-B788-45C6-A7A0-4ECF34B6FCA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94A6-F448-B1FD-FB862B52977B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BE39218C-04FC-4EE0-8007-BF7C14AEB93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94A6-F448-B1FD-FB862B52977B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78F12AD2-E934-44D6-A162-1D3C252A9E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94A6-F448-B1FD-FB862B52977B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4FDD5DD5-4CC4-4C55-ACF9-D1FAD2DFB9B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94A6-F448-B1FD-FB862B52977B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894322C1-F0CE-4272-A041-2A2E991D24C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94A6-F448-B1FD-FB862B52977B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992294CE-1082-4711-9A29-0D02ED97DD4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94A6-F448-B1FD-FB862B52977B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D44CA85-3872-4002-BAF2-A88E9B06093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94A6-F448-B1FD-FB862B52977B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61922D4-1489-49F0-BC0A-24A0FFAC84A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94A6-F448-B1FD-FB862B52977B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32714220-E22D-4E8D-A19B-10FFF8302F7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94A6-F448-B1FD-FB862B52977B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7EFD343-4DB1-43C0-8440-C1AC4643F7D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94A6-F448-B1FD-FB862B52977B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FCB941CA-06F1-466F-85B1-1B42DD001C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94A6-F448-B1FD-FB862B52977B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B6EBF138-1C21-492D-B597-C4CEFAF993D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94A6-F448-B1FD-FB862B52977B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3CDC5480-ACFC-48C4-A0E5-762AD5CA89E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94A6-F448-B1FD-FB862B52977B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0A96BE8C-368A-47F7-A28F-638D2C911F2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94A6-F448-B1FD-FB862B52977B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1B35218E-2628-4897-AB87-93408494ED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94A6-F448-B1FD-FB862B52977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scores!$Q$2:$Q$28</c:f>
              <c:numCache>
                <c:formatCode>General</c:formatCode>
                <c:ptCount val="27"/>
                <c:pt idx="0">
                  <c:v>-1.282E-2</c:v>
                </c:pt>
                <c:pt idx="1">
                  <c:v>0.95733000000000001</c:v>
                </c:pt>
                <c:pt idx="2">
                  <c:v>0.48042000000000001</c:v>
                </c:pt>
                <c:pt idx="3">
                  <c:v>-9.9940000000000001E-2</c:v>
                </c:pt>
                <c:pt idx="4">
                  <c:v>0.23746</c:v>
                </c:pt>
                <c:pt idx="5">
                  <c:v>0.73763999999999996</c:v>
                </c:pt>
                <c:pt idx="6">
                  <c:v>9.7960000000000005E-2</c:v>
                </c:pt>
                <c:pt idx="7">
                  <c:v>-1.0223199999999999</c:v>
                </c:pt>
                <c:pt idx="8">
                  <c:v>-1.05888</c:v>
                </c:pt>
                <c:pt idx="9">
                  <c:v>-0.35974</c:v>
                </c:pt>
                <c:pt idx="10">
                  <c:v>1.4550099999999999</c:v>
                </c:pt>
                <c:pt idx="11">
                  <c:v>-0.72140000000000004</c:v>
                </c:pt>
                <c:pt idx="12">
                  <c:v>-0.27450000000000002</c:v>
                </c:pt>
                <c:pt idx="13">
                  <c:v>-0.14513999999999999</c:v>
                </c:pt>
                <c:pt idx="14">
                  <c:v>0.24227000000000001</c:v>
                </c:pt>
                <c:pt idx="15">
                  <c:v>-0.92869000000000002</c:v>
                </c:pt>
                <c:pt idx="16">
                  <c:v>-1.0775399999999999</c:v>
                </c:pt>
                <c:pt idx="17">
                  <c:v>0.45062999999999998</c:v>
                </c:pt>
                <c:pt idx="18">
                  <c:v>2.8836400000000002</c:v>
                </c:pt>
                <c:pt idx="19">
                  <c:v>1.00865</c:v>
                </c:pt>
                <c:pt idx="20">
                  <c:v>8.7279999999999996E-2</c:v>
                </c:pt>
                <c:pt idx="21">
                  <c:v>-0.75368000000000002</c:v>
                </c:pt>
                <c:pt idx="22">
                  <c:v>1.0553900000000001</c:v>
                </c:pt>
                <c:pt idx="23">
                  <c:v>-0.16092999999999999</c:v>
                </c:pt>
                <c:pt idx="24">
                  <c:v>0.30077999999999999</c:v>
                </c:pt>
                <c:pt idx="25">
                  <c:v>-1.87703</c:v>
                </c:pt>
                <c:pt idx="26">
                  <c:v>-1.50186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94A6-F448-B1FD-FB862B5297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ICT Employment Shortage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scores!$R$1</c:f>
              <c:strCache>
                <c:ptCount val="1"/>
                <c:pt idx="0">
                  <c:v>Digital &amp; Energy Investment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60A4FB72-8844-4F3B-85B9-D9F4437330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FCE-E74E-907D-718672D36EF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22616AD-461E-4597-AF6B-0D1B698DCDA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FCE-E74E-907D-718672D36EF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AB65B1B-8489-4FCC-B403-00804BFC3BC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FCE-E74E-907D-718672D36EF6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FD24B45-C196-4F15-A6A3-A81FE433A8E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FCE-E74E-907D-718672D36EF6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CE6ED493-AB2C-4D2B-ABE1-D9469216582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FCE-E74E-907D-718672D36EF6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B9B79368-BFF6-4E80-A274-5406A76E182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FCE-E74E-907D-718672D36EF6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F8904B6B-6BB7-4BE9-9905-C5AF6C37C62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FCE-E74E-907D-718672D36EF6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AF6BE3A-AAFE-41AB-9077-3323C545144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FCE-E74E-907D-718672D36EF6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9A269E8D-5589-4CB5-BE0F-F1D44A9CFC4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FCE-E74E-907D-718672D36EF6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BB8A5207-317E-4868-B37B-A5E2385B2C6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FCE-E74E-907D-718672D36EF6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29E92C00-5022-46F6-8AE1-DD9A7266B08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FCE-E74E-907D-718672D36EF6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49A47224-C2C7-43A0-AB25-F76638AFD46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FCE-E74E-907D-718672D36EF6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87A58559-D642-4A2E-9532-EE488B57DEE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FCE-E74E-907D-718672D36EF6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049F76DA-344A-4867-B63C-CA2A00EB2A6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FCE-E74E-907D-718672D36EF6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8DE84366-31DA-42B9-B54A-B1504D94249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FCE-E74E-907D-718672D36EF6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596412B1-C68C-4F63-A73B-126AE795483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FCE-E74E-907D-718672D36EF6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31558089-47D4-4847-A413-DF2F227D299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FCE-E74E-907D-718672D36EF6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311934E3-240B-4C8E-9EC9-60D855A4F1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FCE-E74E-907D-718672D36EF6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AC27D4E8-0AE9-4678-BC21-D42D923A48C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FCE-E74E-907D-718672D36EF6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5DC3EAFB-F315-41E3-B6C9-EEB959F76A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FCE-E74E-907D-718672D36EF6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D45AA396-962B-4AB7-9673-709B94BF55E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FCE-E74E-907D-718672D36EF6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50482A3-4C1B-4747-B0AA-7E22C118E68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FCE-E74E-907D-718672D36EF6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9DCCDC79-3D03-4BC6-BE46-7BF9DD91CF4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FCE-E74E-907D-718672D36EF6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C1181E0-CDFE-4012-B027-DDCC2115A23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FCE-E74E-907D-718672D36EF6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C389F5C-CAA7-476B-9827-E9F9378952B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FCE-E74E-907D-718672D36EF6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933B8BD-8285-4323-8890-0B4A60EB8DF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FCE-E74E-907D-718672D36EF6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C32D4E7F-B517-4930-A1E2-9B82B59E91E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FCE-E74E-907D-718672D36E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scores!$R$2:$R$28</c:f>
              <c:numCache>
                <c:formatCode>General</c:formatCode>
                <c:ptCount val="27"/>
                <c:pt idx="0">
                  <c:v>-0.17352999999999999</c:v>
                </c:pt>
                <c:pt idx="1">
                  <c:v>-4.4510000000000001E-2</c:v>
                </c:pt>
                <c:pt idx="2">
                  <c:v>0.76324999999999998</c:v>
                </c:pt>
                <c:pt idx="3">
                  <c:v>1.5932900000000001</c:v>
                </c:pt>
                <c:pt idx="4">
                  <c:v>-0.14441999999999999</c:v>
                </c:pt>
                <c:pt idx="5">
                  <c:v>0.39950999999999998</c:v>
                </c:pt>
                <c:pt idx="6">
                  <c:v>0.84189999999999998</c:v>
                </c:pt>
                <c:pt idx="7">
                  <c:v>0.64281999999999995</c:v>
                </c:pt>
                <c:pt idx="8">
                  <c:v>9.393E-2</c:v>
                </c:pt>
                <c:pt idx="9">
                  <c:v>-0.71204999999999996</c:v>
                </c:pt>
                <c:pt idx="10">
                  <c:v>-0.28294999999999998</c:v>
                </c:pt>
                <c:pt idx="11">
                  <c:v>0.80030999999999997</c:v>
                </c:pt>
                <c:pt idx="12">
                  <c:v>-0.49725000000000003</c:v>
                </c:pt>
                <c:pt idx="13">
                  <c:v>-1.52101</c:v>
                </c:pt>
                <c:pt idx="14">
                  <c:v>-1.2378199999999999</c:v>
                </c:pt>
                <c:pt idx="15">
                  <c:v>0.35121000000000002</c:v>
                </c:pt>
                <c:pt idx="16">
                  <c:v>-0.41783999999999999</c:v>
                </c:pt>
                <c:pt idx="17">
                  <c:v>-2.4596100000000001</c:v>
                </c:pt>
                <c:pt idx="18">
                  <c:v>-1.0080100000000001</c:v>
                </c:pt>
                <c:pt idx="19">
                  <c:v>-5.5140000000000002E-2</c:v>
                </c:pt>
                <c:pt idx="20">
                  <c:v>1.44323</c:v>
                </c:pt>
                <c:pt idx="21">
                  <c:v>-0.75873999999999997</c:v>
                </c:pt>
                <c:pt idx="22">
                  <c:v>1.91361</c:v>
                </c:pt>
                <c:pt idx="23">
                  <c:v>0.99555000000000005</c:v>
                </c:pt>
                <c:pt idx="24">
                  <c:v>0.62175999999999998</c:v>
                </c:pt>
                <c:pt idx="25">
                  <c:v>-1.0695699999999999</c:v>
                </c:pt>
                <c:pt idx="26">
                  <c:v>-7.7920000000000003E-2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6FCE-E74E-907D-718672D36E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Digital &amp; Energy Investment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scores!$P$1</c:f>
              <c:strCache>
                <c:ptCount val="1"/>
                <c:pt idx="0">
                  <c:v>Digital Participation &amp; IT Workforce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9E081E78-F305-4DF8-B00D-A0C129620F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4F10-3341-B535-0C04DCAFCB3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483F9C7-745D-4319-8587-A408E9010AF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4F10-3341-B535-0C04DCAFCB3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AC89B277-FB7F-44DA-808D-567DACCF929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4F10-3341-B535-0C04DCAFCB3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00EF8C93-FBAD-4F24-8080-EFE6547FD40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4F10-3341-B535-0C04DCAFCB3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BD12AA3C-EA9C-45BD-A41D-81576877794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4F10-3341-B535-0C04DCAFCB3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9B760A5C-DFBA-47C1-AC67-B4CF2A0838F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4F10-3341-B535-0C04DCAFCB3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C9ADDE6-3EBE-49EC-AF77-893360DF4D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4F10-3341-B535-0C04DCAFCB3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5643A53E-9287-4F57-B200-E64484173F5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4F10-3341-B535-0C04DCAFCB3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DD7C2B51-C982-4099-A89A-F87C945465B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4F10-3341-B535-0C04DCAFCB3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D33E254F-353F-4DF6-A705-8266FC3AE21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4F10-3341-B535-0C04DCAFCB3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B2615AE5-D05E-417D-BD17-B942E220CB6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4F10-3341-B535-0C04DCAFCB3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0CE4916F-BE29-40C4-A6D7-933DA004931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4F10-3341-B535-0C04DCAFCB3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7673AF0C-DC5F-4699-A60D-A6B241741E1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4F10-3341-B535-0C04DCAFCB3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48AC62D0-B296-420A-A8F6-63531B1476A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4F10-3341-B535-0C04DCAFCB3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2BDAF0EA-BC2D-411C-8802-E3115CF3969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4F10-3341-B535-0C04DCAFCB3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6D44B13-0F26-45EE-98CC-95D83BE1E9A0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4F10-3341-B535-0C04DCAFCB3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684A60C1-DB6E-48EB-9966-DF92FECD045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4F10-3341-B535-0C04DCAFCB3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29311AC-B5B9-4C30-B70D-A94744006C6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4F10-3341-B535-0C04DCAFCB3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1AE2A735-9F98-4FFD-89C3-3C6502AED6E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4F10-3341-B535-0C04DCAFCB3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EE96DB20-24F3-4D36-A8FC-5069F18A0F6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4F10-3341-B535-0C04DCAFCB3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AF13B095-894E-49BA-8BE3-E593C28538C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4F10-3341-B535-0C04DCAFCB3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C1856816-821C-4B4B-81E8-87CDC1744C0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4F10-3341-B535-0C04DCAFCB3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3306F63D-104D-4140-9EA2-8C29EB2A0CB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4F10-3341-B535-0C04DCAFCB3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F13C113B-E231-448F-8A10-12C3C2A8A54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4F10-3341-B535-0C04DCAFCB3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77731486-9122-4A2B-9EB9-DBFF368015B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4F10-3341-B535-0C04DCAFCB3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8A8DE6BC-BF8F-4CB0-95BE-E319C5DC611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4F10-3341-B535-0C04DCAFCB3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DA08771-85E4-4E00-9AE0-BD99F64B9A8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4F10-3341-B535-0C04DCAFCB3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scores!$P$2:$P$28</c:f>
              <c:numCache>
                <c:formatCode>General</c:formatCode>
                <c:ptCount val="27"/>
                <c:pt idx="0">
                  <c:v>-0.26146000000000003</c:v>
                </c:pt>
                <c:pt idx="1">
                  <c:v>0.23557</c:v>
                </c:pt>
                <c:pt idx="2">
                  <c:v>-0.81781000000000004</c:v>
                </c:pt>
                <c:pt idx="3">
                  <c:v>-0.43408000000000002</c:v>
                </c:pt>
                <c:pt idx="4">
                  <c:v>2.1960299999999999</c:v>
                </c:pt>
                <c:pt idx="5">
                  <c:v>-0.41975000000000001</c:v>
                </c:pt>
                <c:pt idx="6">
                  <c:v>1.8544</c:v>
                </c:pt>
                <c:pt idx="7">
                  <c:v>-0.21967999999999999</c:v>
                </c:pt>
                <c:pt idx="8">
                  <c:v>0.81818999999999997</c:v>
                </c:pt>
                <c:pt idx="9">
                  <c:v>-0.81916999999999995</c:v>
                </c:pt>
                <c:pt idx="10">
                  <c:v>-0.44379999999999997</c:v>
                </c:pt>
                <c:pt idx="11">
                  <c:v>1.5665100000000001</c:v>
                </c:pt>
                <c:pt idx="12">
                  <c:v>0.53312000000000004</c:v>
                </c:pt>
                <c:pt idx="13">
                  <c:v>0.33794000000000002</c:v>
                </c:pt>
                <c:pt idx="14">
                  <c:v>-2.1013899999999999</c:v>
                </c:pt>
                <c:pt idx="15">
                  <c:v>-0.41269</c:v>
                </c:pt>
                <c:pt idx="16">
                  <c:v>-0.54283999999999999</c:v>
                </c:pt>
                <c:pt idx="17">
                  <c:v>-1.0101599999999999</c:v>
                </c:pt>
                <c:pt idx="18">
                  <c:v>1.18194</c:v>
                </c:pt>
                <c:pt idx="19">
                  <c:v>1.2563200000000001</c:v>
                </c:pt>
                <c:pt idx="20">
                  <c:v>-0.72165000000000001</c:v>
                </c:pt>
                <c:pt idx="21">
                  <c:v>-9.7000000000000003E-3</c:v>
                </c:pt>
                <c:pt idx="22">
                  <c:v>-1.41848</c:v>
                </c:pt>
                <c:pt idx="23">
                  <c:v>-0.55728</c:v>
                </c:pt>
                <c:pt idx="24">
                  <c:v>-0.43289</c:v>
                </c:pt>
                <c:pt idx="25">
                  <c:v>0.20055999999999999</c:v>
                </c:pt>
                <c:pt idx="26">
                  <c:v>0.44224999999999998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4F10-3341-B535-0C04DCAFCB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Digital Participation &amp; ICT workforce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scores!$Q$1</c:f>
              <c:strCache>
                <c:ptCount val="1"/>
                <c:pt idx="0">
                  <c:v>ICT Employment Shortage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F6A61A16-9295-41D3-960D-88FAA2843CA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6905-7143-A90F-F8861CE53E9C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7CB676C3-238C-4C30-A705-671067C4DC9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905-7143-A90F-F8861CE53E9C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63ACD0F6-5374-41F0-AB6F-A76A90BC625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905-7143-A90F-F8861CE53E9C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ED1D353A-00CC-4539-A039-713E8FF5184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905-7143-A90F-F8861CE53E9C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49433F83-AB88-449E-8963-76E2E90F58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905-7143-A90F-F8861CE53E9C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CA2AB76-3BDA-4A3F-B1B7-09D298529FB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905-7143-A90F-F8861CE53E9C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AC19965-2195-4125-9BFB-B6882FD35FA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905-7143-A90F-F8861CE53E9C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7BACF6C2-E0C2-4668-BF2B-7F30103ECAC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905-7143-A90F-F8861CE53E9C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CF94D84D-6C0E-4262-8654-AD9E038110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905-7143-A90F-F8861CE53E9C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2804F480-F011-4B05-92FB-20EBDE77C67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905-7143-A90F-F8861CE53E9C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12449064-5A2B-4540-8D90-8A0EDE777EF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905-7143-A90F-F8861CE53E9C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BD5B3729-CC44-49FC-8F64-5B91F3D2A57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905-7143-A90F-F8861CE53E9C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A0FF0624-C34D-49C2-B8C7-2251E945821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905-7143-A90F-F8861CE53E9C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1C484414-D761-4835-B979-70CC10FEA14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905-7143-A90F-F8861CE53E9C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E29AFADE-BC3E-4986-9B99-345B18FB489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905-7143-A90F-F8861CE53E9C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13BCBB4-86B1-4055-9A35-EBCA62BDFE3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905-7143-A90F-F8861CE53E9C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4EBCBB14-236C-4FAF-8A07-0A41545D253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905-7143-A90F-F8861CE53E9C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AC6E8E6F-3DC5-408D-85AA-A619C4B5805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905-7143-A90F-F8861CE53E9C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F5612919-B15C-4B87-B362-86987FB2B11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905-7143-A90F-F8861CE53E9C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486DD96C-B8B3-4A86-B8B3-A35C0027CBB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905-7143-A90F-F8861CE53E9C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03F89F9-6694-4975-96E3-BC6A42A0666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905-7143-A90F-F8861CE53E9C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125D6D9C-201A-4D99-B702-CEE20BCC40D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905-7143-A90F-F8861CE53E9C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A077E8CD-0F3F-45C3-AD5C-74BCFD8D314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905-7143-A90F-F8861CE53E9C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71DB5E47-22FD-4A5C-B704-0C525817105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905-7143-A90F-F8861CE53E9C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F1653767-24B9-4FC3-80CA-EFDF0303E21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905-7143-A90F-F8861CE53E9C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B503D77F-0129-4324-9708-8ECDD5F0B2C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905-7143-A90F-F8861CE53E9C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B86269BF-3B40-44EF-B2C1-4469211E62E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905-7143-A90F-F8861CE53E9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scores!$Q$2:$Q$28</c:f>
              <c:numCache>
                <c:formatCode>General</c:formatCode>
                <c:ptCount val="27"/>
                <c:pt idx="0">
                  <c:v>-1.282E-2</c:v>
                </c:pt>
                <c:pt idx="1">
                  <c:v>0.95733000000000001</c:v>
                </c:pt>
                <c:pt idx="2">
                  <c:v>0.48042000000000001</c:v>
                </c:pt>
                <c:pt idx="3">
                  <c:v>-9.9940000000000001E-2</c:v>
                </c:pt>
                <c:pt idx="4">
                  <c:v>0.23746</c:v>
                </c:pt>
                <c:pt idx="5">
                  <c:v>0.73763999999999996</c:v>
                </c:pt>
                <c:pt idx="6">
                  <c:v>9.7960000000000005E-2</c:v>
                </c:pt>
                <c:pt idx="7">
                  <c:v>-1.0223199999999999</c:v>
                </c:pt>
                <c:pt idx="8">
                  <c:v>-1.05888</c:v>
                </c:pt>
                <c:pt idx="9">
                  <c:v>-0.35974</c:v>
                </c:pt>
                <c:pt idx="10">
                  <c:v>1.4550099999999999</c:v>
                </c:pt>
                <c:pt idx="11">
                  <c:v>-0.72140000000000004</c:v>
                </c:pt>
                <c:pt idx="12">
                  <c:v>-0.27450000000000002</c:v>
                </c:pt>
                <c:pt idx="13">
                  <c:v>-0.14513999999999999</c:v>
                </c:pt>
                <c:pt idx="14">
                  <c:v>0.24227000000000001</c:v>
                </c:pt>
                <c:pt idx="15">
                  <c:v>-0.92869000000000002</c:v>
                </c:pt>
                <c:pt idx="16">
                  <c:v>-1.0775399999999999</c:v>
                </c:pt>
                <c:pt idx="17">
                  <c:v>0.45062999999999998</c:v>
                </c:pt>
                <c:pt idx="18">
                  <c:v>2.8836400000000002</c:v>
                </c:pt>
                <c:pt idx="19">
                  <c:v>1.00865</c:v>
                </c:pt>
                <c:pt idx="20">
                  <c:v>8.7279999999999996E-2</c:v>
                </c:pt>
                <c:pt idx="21">
                  <c:v>-0.75368000000000002</c:v>
                </c:pt>
                <c:pt idx="22">
                  <c:v>1.0553900000000001</c:v>
                </c:pt>
                <c:pt idx="23">
                  <c:v>-0.16092999999999999</c:v>
                </c:pt>
                <c:pt idx="24">
                  <c:v>0.30077999999999999</c:v>
                </c:pt>
                <c:pt idx="25">
                  <c:v>-1.87703</c:v>
                </c:pt>
                <c:pt idx="26">
                  <c:v>-1.50186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6905-7143-A90F-F8861CE53E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ICT Employment Shortage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scores!$R$1</c:f>
              <c:strCache>
                <c:ptCount val="1"/>
                <c:pt idx="0">
                  <c:v>Digital &amp; Energy Investment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0"/>
              <c:tx>
                <c:rich>
                  <a:bodyPr/>
                  <a:lstStyle/>
                  <a:p>
                    <a:fld id="{56C88B28-D4E4-4F62-A3C5-23BC3C85CA7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0-03D5-A543-B14A-3ACF641284B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A7751E-6F17-4F4E-B0D8-BB9ABAC07F7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3D5-A543-B14A-3ACF641284B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9A18EE6-556C-4021-85DD-A277DBBEFC6B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3D5-A543-B14A-3ACF641284B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467229C0-F72B-4102-AD51-B710DD34EE0A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3D5-A543-B14A-3ACF641284B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AC3091-1D30-4731-8483-A2D456BEDF9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3D5-A543-B14A-3ACF641284B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C7A21FE9-EAF5-4A88-AA62-4E14E307310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3D5-A543-B14A-3ACF641284B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3E7AAAB3-FBF4-410B-BBEF-23BCF637A56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3D5-A543-B14A-3ACF641284B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8B71A2B0-2D0F-4A02-9C21-A4A27294BBB3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03D5-A543-B14A-3ACF641284B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6A4CCB90-FC15-4F97-B537-32E8A534701E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03D5-A543-B14A-3ACF641284B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D8BD7EF-531A-47A0-A671-680F6868113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03D5-A543-B14A-3ACF641284B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A3C7DA3B-3BF2-4589-A443-8023235A4E5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03D5-A543-B14A-3ACF641284B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80AA572B-29F6-4555-ACDB-B5D079DF3A1C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03D5-A543-B14A-3ACF641284B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069DAB83-AD0E-49F2-8AA5-DA16A1B9BAED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03D5-A543-B14A-3ACF641284B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294EBE6-BD2C-4D90-B5D0-FEEB3A0C492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03D5-A543-B14A-3ACF641284B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D44E1820-0D45-4460-8E39-B4F3E49F19D8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03D5-A543-B14A-3ACF641284B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32A1D5F7-D43C-460E-8518-45FC78A64C3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03D5-A543-B14A-3ACF641284B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03E43758-BFFA-406E-A139-FAECF671D8C6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03D5-A543-B14A-3ACF641284B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5FF6E61D-2BAB-4635-83C3-CA0244736975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03D5-A543-B14A-3ACF641284B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3CC977D9-3C64-4A4A-9BC5-B9DA6657132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03D5-A543-B14A-3ACF641284B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BA6084F0-A2D3-4E3C-BFD9-5E809C8653F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03D5-A543-B14A-3ACF641284B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F8CF4112-CFA2-44ED-87C2-37500BF01834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03D5-A543-B14A-3ACF641284BD}"/>
                </c:ext>
              </c:extLst>
            </c:dLbl>
            <c:dLbl>
              <c:idx val="21"/>
              <c:tx>
                <c:rich>
                  <a:bodyPr/>
                  <a:lstStyle/>
                  <a:p>
                    <a:fld id="{D2F113A9-0733-4A6C-A65A-87EAC6E7062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03D5-A543-B14A-3ACF641284BD}"/>
                </c:ext>
              </c:extLst>
            </c:dLbl>
            <c:dLbl>
              <c:idx val="22"/>
              <c:tx>
                <c:rich>
                  <a:bodyPr/>
                  <a:lstStyle/>
                  <a:p>
                    <a:fld id="{C5F2E8C7-F832-4EC2-BDD5-F020AD87FE72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03D5-A543-B14A-3ACF641284BD}"/>
                </c:ext>
              </c:extLst>
            </c:dLbl>
            <c:dLbl>
              <c:idx val="23"/>
              <c:tx>
                <c:rich>
                  <a:bodyPr/>
                  <a:lstStyle/>
                  <a:p>
                    <a:fld id="{0008D18D-180B-43A8-94C9-32FFA05A3957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03D5-A543-B14A-3ACF641284BD}"/>
                </c:ext>
              </c:extLst>
            </c:dLbl>
            <c:dLbl>
              <c:idx val="24"/>
              <c:tx>
                <c:rich>
                  <a:bodyPr/>
                  <a:lstStyle/>
                  <a:p>
                    <a:fld id="{8404D428-C785-474F-8B5A-1B8C71D227E1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03D5-A543-B14A-3ACF641284BD}"/>
                </c:ext>
              </c:extLst>
            </c:dLbl>
            <c:dLbl>
              <c:idx val="25"/>
              <c:tx>
                <c:rich>
                  <a:bodyPr/>
                  <a:lstStyle/>
                  <a:p>
                    <a:fld id="{68C3F4E2-88C9-45CB-80CE-69F8161884EF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03D5-A543-B14A-3ACF641284BD}"/>
                </c:ext>
              </c:extLst>
            </c:dLbl>
            <c:dLbl>
              <c:idx val="26"/>
              <c:tx>
                <c:rich>
                  <a:bodyPr/>
                  <a:lstStyle/>
                  <a:p>
                    <a:fld id="{9BB66AC9-96C8-4A82-A96A-588DD2E90739}" type="CELLRANGE">
                      <a:rPr lang="en-US"/>
                      <a:pPr/>
                      <a:t>[]</a:t>
                    </a:fld>
                    <a:endParaRPr/>
                  </a:p>
                </c:rich>
              </c:tx>
              <c:dLblPos val="t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03D5-A543-B14A-3ACF641284B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NG"/>
              </a:p>
            </c:txPr>
            <c:dLblPos val="t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scores!$O$2:$O$28</c:f>
              <c:numCache>
                <c:formatCode>General</c:formatCode>
                <c:ptCount val="27"/>
                <c:pt idx="0">
                  <c:v>0.92695000000000005</c:v>
                </c:pt>
                <c:pt idx="1">
                  <c:v>1.5893200000000001</c:v>
                </c:pt>
                <c:pt idx="2">
                  <c:v>-0.89383000000000001</c:v>
                </c:pt>
                <c:pt idx="3">
                  <c:v>-0.53486999999999996</c:v>
                </c:pt>
                <c:pt idx="4">
                  <c:v>-2.13442</c:v>
                </c:pt>
                <c:pt idx="5">
                  <c:v>0.18049999999999999</c:v>
                </c:pt>
                <c:pt idx="6">
                  <c:v>1.48062</c:v>
                </c:pt>
                <c:pt idx="7">
                  <c:v>0.70077</c:v>
                </c:pt>
                <c:pt idx="8">
                  <c:v>1.69573</c:v>
                </c:pt>
                <c:pt idx="9">
                  <c:v>-0.51846999999999999</c:v>
                </c:pt>
                <c:pt idx="10">
                  <c:v>0.58579999999999999</c:v>
                </c:pt>
                <c:pt idx="11">
                  <c:v>-1.7221299999999999</c:v>
                </c:pt>
                <c:pt idx="12">
                  <c:v>-1.1405400000000001</c:v>
                </c:pt>
                <c:pt idx="13">
                  <c:v>0.32278000000000001</c:v>
                </c:pt>
                <c:pt idx="14">
                  <c:v>-0.55691000000000002</c:v>
                </c:pt>
                <c:pt idx="15">
                  <c:v>-0.41371999999999998</c:v>
                </c:pt>
                <c:pt idx="16">
                  <c:v>-0.19602</c:v>
                </c:pt>
                <c:pt idx="17">
                  <c:v>0.20457</c:v>
                </c:pt>
                <c:pt idx="18">
                  <c:v>-0.61841000000000002</c:v>
                </c:pt>
                <c:pt idx="19">
                  <c:v>0.87727999999999995</c:v>
                </c:pt>
                <c:pt idx="20">
                  <c:v>-0.17513000000000001</c:v>
                </c:pt>
                <c:pt idx="21">
                  <c:v>-0.74687000000000003</c:v>
                </c:pt>
                <c:pt idx="22">
                  <c:v>-0.67869999999999997</c:v>
                </c:pt>
                <c:pt idx="23">
                  <c:v>-0.34755999999999998</c:v>
                </c:pt>
                <c:pt idx="24">
                  <c:v>1.3995599999999999</c:v>
                </c:pt>
                <c:pt idx="25">
                  <c:v>-0.45027</c:v>
                </c:pt>
                <c:pt idx="26">
                  <c:v>1.16398</c:v>
                </c:pt>
              </c:numCache>
            </c:numRef>
          </c:xVal>
          <c:yVal>
            <c:numRef>
              <c:f>scores!$R$2:$R$28</c:f>
              <c:numCache>
                <c:formatCode>General</c:formatCode>
                <c:ptCount val="27"/>
                <c:pt idx="0">
                  <c:v>-0.17352999999999999</c:v>
                </c:pt>
                <c:pt idx="1">
                  <c:v>-4.4510000000000001E-2</c:v>
                </c:pt>
                <c:pt idx="2">
                  <c:v>0.76324999999999998</c:v>
                </c:pt>
                <c:pt idx="3">
                  <c:v>1.5932900000000001</c:v>
                </c:pt>
                <c:pt idx="4">
                  <c:v>-0.14441999999999999</c:v>
                </c:pt>
                <c:pt idx="5">
                  <c:v>0.39950999999999998</c:v>
                </c:pt>
                <c:pt idx="6">
                  <c:v>0.84189999999999998</c:v>
                </c:pt>
                <c:pt idx="7">
                  <c:v>0.64281999999999995</c:v>
                </c:pt>
                <c:pt idx="8">
                  <c:v>9.393E-2</c:v>
                </c:pt>
                <c:pt idx="9">
                  <c:v>-0.71204999999999996</c:v>
                </c:pt>
                <c:pt idx="10">
                  <c:v>-0.28294999999999998</c:v>
                </c:pt>
                <c:pt idx="11">
                  <c:v>0.80030999999999997</c:v>
                </c:pt>
                <c:pt idx="12">
                  <c:v>-0.49725000000000003</c:v>
                </c:pt>
                <c:pt idx="13">
                  <c:v>-1.52101</c:v>
                </c:pt>
                <c:pt idx="14">
                  <c:v>-1.2378199999999999</c:v>
                </c:pt>
                <c:pt idx="15">
                  <c:v>0.35121000000000002</c:v>
                </c:pt>
                <c:pt idx="16">
                  <c:v>-0.41783999999999999</c:v>
                </c:pt>
                <c:pt idx="17">
                  <c:v>-2.4596100000000001</c:v>
                </c:pt>
                <c:pt idx="18">
                  <c:v>-1.0080100000000001</c:v>
                </c:pt>
                <c:pt idx="19">
                  <c:v>-5.5140000000000002E-2</c:v>
                </c:pt>
                <c:pt idx="20">
                  <c:v>1.44323</c:v>
                </c:pt>
                <c:pt idx="21">
                  <c:v>-0.75873999999999997</c:v>
                </c:pt>
                <c:pt idx="22">
                  <c:v>1.91361</c:v>
                </c:pt>
                <c:pt idx="23">
                  <c:v>0.99555000000000005</c:v>
                </c:pt>
                <c:pt idx="24">
                  <c:v>0.62175999999999998</c:v>
                </c:pt>
                <c:pt idx="25">
                  <c:v>-1.0695699999999999</c:v>
                </c:pt>
                <c:pt idx="26">
                  <c:v>-7.7920000000000003E-2</c:v>
                </c:pt>
              </c:numCache>
            </c:numRef>
          </c:yVal>
          <c:smooth val="0"/>
          <c:extLst>
            <c:ext xmlns:c15="http://schemas.microsoft.com/office/drawing/2012/chart" uri="{02D57815-91ED-43cb-92C2-25804820EDAC}">
              <c15:datalabelsRange>
                <c15:f>scores!$B$2:$B$28</c15:f>
                <c15:dlblRangeCache>
                  <c:ptCount val="27"/>
                  <c:pt idx="0">
                    <c:v>Austria</c:v>
                  </c:pt>
                  <c:pt idx="1">
                    <c:v>Belgium</c:v>
                  </c:pt>
                  <c:pt idx="2">
                    <c:v>Bulgaria</c:v>
                  </c:pt>
                  <c:pt idx="3">
                    <c:v>Croatia</c:v>
                  </c:pt>
                  <c:pt idx="4">
                    <c:v>Cyprus</c:v>
                  </c:pt>
                  <c:pt idx="5">
                    <c:v>Czechia</c:v>
                  </c:pt>
                  <c:pt idx="6">
                    <c:v>Denmark</c:v>
                  </c:pt>
                  <c:pt idx="7">
                    <c:v>Estonia</c:v>
                  </c:pt>
                  <c:pt idx="8">
                    <c:v>Finland</c:v>
                  </c:pt>
                  <c:pt idx="9">
                    <c:v>France</c:v>
                  </c:pt>
                  <c:pt idx="10">
                    <c:v>Germany</c:v>
                  </c:pt>
                  <c:pt idx="11">
                    <c:v>Greece</c:v>
                  </c:pt>
                  <c:pt idx="12">
                    <c:v>Hungary</c:v>
                  </c:pt>
                  <c:pt idx="13">
                    <c:v>Ireland</c:v>
                  </c:pt>
                  <c:pt idx="14">
                    <c:v>Italy</c:v>
                  </c:pt>
                  <c:pt idx="15">
                    <c:v>Latvia</c:v>
                  </c:pt>
                  <c:pt idx="16">
                    <c:v>Lithuania</c:v>
                  </c:pt>
                  <c:pt idx="17">
                    <c:v>Luxembourg</c:v>
                  </c:pt>
                  <c:pt idx="18">
                    <c:v>Malta</c:v>
                  </c:pt>
                  <c:pt idx="19">
                    <c:v>Netherlands</c:v>
                  </c:pt>
                  <c:pt idx="20">
                    <c:v>Poland</c:v>
                  </c:pt>
                  <c:pt idx="21">
                    <c:v>Portugal</c:v>
                  </c:pt>
                  <c:pt idx="22">
                    <c:v>Romania</c:v>
                  </c:pt>
                  <c:pt idx="23">
                    <c:v>Slovakia</c:v>
                  </c:pt>
                  <c:pt idx="24">
                    <c:v>Slovenia</c:v>
                  </c:pt>
                  <c:pt idx="25">
                    <c:v>Spain</c:v>
                  </c:pt>
                  <c:pt idx="26">
                    <c:v>Sweden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1B-03D5-A543-B14A-3ACF641284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5043184"/>
        <c:axId val="385060160"/>
      </c:scatterChart>
      <c:valAx>
        <c:axId val="3850431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Digital &amp; Energy Investment</a:t>
                </a:r>
              </a:p>
            </c:rich>
          </c:tx>
          <c:layout>
            <c:manualLayout>
              <c:xMode val="edge"/>
              <c:yMode val="edge"/>
              <c:x val="0.44981899146199761"/>
              <c:y val="0.96272857142857127"/>
            </c:manualLayout>
          </c:layout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60160"/>
        <c:crosses val="autoZero"/>
        <c:crossBetween val="midCat"/>
      </c:valAx>
      <c:valAx>
        <c:axId val="385060160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 sz="1400" baseline="0"/>
                  <a:t>AI Adoption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385043184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114300</xdr:rowOff>
    </xdr:from>
    <xdr:to>
      <xdr:col>13</xdr:col>
      <xdr:colOff>139700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1084475-D547-CB40-98F0-1E59ACC9D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774700</xdr:colOff>
      <xdr:row>3</xdr:row>
      <xdr:rowOff>114300</xdr:rowOff>
    </xdr:from>
    <xdr:to>
      <xdr:col>26</xdr:col>
      <xdr:colOff>0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E32837D-4281-AA4C-B469-27B5F897BAFD}"/>
            </a:ext>
            <a:ext uri="{147F2762-F138-4A5C-976F-8EAC2B608ADB}">
              <a16:predDERef xmlns:a16="http://schemas.microsoft.com/office/drawing/2014/main" pred="{51084475-D547-CB40-98F0-1E59ACC9D4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729870</xdr:colOff>
      <xdr:row>72</xdr:row>
      <xdr:rowOff>179102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31E2763-3362-BF4F-AE96-619D1FB331D0}"/>
            </a:ext>
            <a:ext uri="{147F2762-F138-4A5C-976F-8EAC2B608ADB}">
              <a16:predDERef xmlns:a16="http://schemas.microsoft.com/office/drawing/2014/main" pred="{DE32837D-4281-AA4C-B469-27B5F897BAF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190500</xdr:colOff>
      <xdr:row>3</xdr:row>
      <xdr:rowOff>114300</xdr:rowOff>
    </xdr:from>
    <xdr:to>
      <xdr:col>13</xdr:col>
      <xdr:colOff>139700</xdr:colOff>
      <xdr:row>35</xdr:row>
      <xdr:rowOff>88900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651D6B8-35A8-1249-AC49-EC2D325EE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774700</xdr:colOff>
      <xdr:row>3</xdr:row>
      <xdr:rowOff>114300</xdr:rowOff>
    </xdr:from>
    <xdr:to>
      <xdr:col>26</xdr:col>
      <xdr:colOff>0</xdr:colOff>
      <xdr:row>35</xdr:row>
      <xdr:rowOff>38100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4DECBD1-8AD6-044F-A9BB-AAD047ACF584}"/>
            </a:ext>
            <a:ext uri="{147F2762-F138-4A5C-976F-8EAC2B608ADB}">
              <a16:predDERef xmlns:a16="http://schemas.microsoft.com/office/drawing/2014/main" pred="{8651D6B8-35A8-1249-AC49-EC2D325EE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0</xdr:colOff>
      <xdr:row>39</xdr:row>
      <xdr:rowOff>0</xdr:rowOff>
    </xdr:from>
    <xdr:to>
      <xdr:col>12</xdr:col>
      <xdr:colOff>729870</xdr:colOff>
      <xdr:row>72</xdr:row>
      <xdr:rowOff>179102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7771714-0B46-994C-AB35-D56F2C58F668}"/>
            </a:ext>
            <a:ext uri="{147F2762-F138-4A5C-976F-8EAC2B608ADB}">
              <a16:predDERef xmlns:a16="http://schemas.microsoft.com/office/drawing/2014/main" pred="{64DECBD1-8AD6-044F-A9BB-AAD047ACF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18</xdr:col>
      <xdr:colOff>683846</xdr:colOff>
      <xdr:row>7</xdr:row>
      <xdr:rowOff>75983</xdr:rowOff>
    </xdr:from>
    <xdr:to>
      <xdr:col>19</xdr:col>
      <xdr:colOff>477607</xdr:colOff>
      <xdr:row>9</xdr:row>
      <xdr:rowOff>130256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AAAE4A2B-3142-8D4C-964E-141CA07ADB7B}"/>
            </a:ext>
          </a:extLst>
        </xdr:cNvPr>
        <xdr:cNvSpPr/>
      </xdr:nvSpPr>
      <xdr:spPr>
        <a:xfrm>
          <a:off x="15542846" y="1498383"/>
          <a:ext cx="619261" cy="460673"/>
        </a:xfrm>
        <a:prstGeom prst="ellipse">
          <a:avLst/>
        </a:pr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21</xdr:col>
      <xdr:colOff>824231</xdr:colOff>
      <xdr:row>22</xdr:row>
      <xdr:rowOff>144916</xdr:rowOff>
    </xdr:from>
    <xdr:to>
      <xdr:col>25</xdr:col>
      <xdr:colOff>365725</xdr:colOff>
      <xdr:row>28</xdr:row>
      <xdr:rowOff>37343</xdr:rowOff>
    </xdr:to>
    <xdr:sp macro="" textlink="">
      <xdr:nvSpPr>
        <xdr:cNvPr id="6" name="Freeform 5">
          <a:extLst>
            <a:ext uri="{FF2B5EF4-FFF2-40B4-BE49-F238E27FC236}">
              <a16:creationId xmlns:a16="http://schemas.microsoft.com/office/drawing/2014/main" id="{B3EBD552-2085-ED42-B71C-43AA97F96BAA}"/>
            </a:ext>
          </a:extLst>
        </xdr:cNvPr>
        <xdr:cNvSpPr/>
      </xdr:nvSpPr>
      <xdr:spPr>
        <a:xfrm>
          <a:off x="18159731" y="4615316"/>
          <a:ext cx="2843494" cy="1111627"/>
        </a:xfrm>
        <a:custGeom>
          <a:avLst/>
          <a:gdLst>
            <a:gd name="csX0" fmla="*/ 261239 w 2841323"/>
            <a:gd name="csY0" fmla="*/ 93887 h 1129863"/>
            <a:gd name="csX1" fmla="*/ 2540726 w 2841323"/>
            <a:gd name="csY1" fmla="*/ 83033 h 1129863"/>
            <a:gd name="csX2" fmla="*/ 2638418 w 2841323"/>
            <a:gd name="csY2" fmla="*/ 875426 h 1129863"/>
            <a:gd name="csX3" fmla="*/ 901666 w 2841323"/>
            <a:gd name="csY3" fmla="*/ 1125084 h 1129863"/>
            <a:gd name="csX4" fmla="*/ 120128 w 2841323"/>
            <a:gd name="csY4" fmla="*/ 701751 h 1129863"/>
            <a:gd name="csX5" fmla="*/ 261239 w 2841323"/>
            <a:gd name="csY5" fmla="*/ 93887 h 112986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841323" h="1129863">
              <a:moveTo>
                <a:pt x="261239" y="93887"/>
              </a:moveTo>
              <a:cubicBezTo>
                <a:pt x="664672" y="-9233"/>
                <a:pt x="2144530" y="-47223"/>
                <a:pt x="2540726" y="83033"/>
              </a:cubicBezTo>
              <a:cubicBezTo>
                <a:pt x="2936922" y="213289"/>
                <a:pt x="2911595" y="701751"/>
                <a:pt x="2638418" y="875426"/>
              </a:cubicBezTo>
              <a:cubicBezTo>
                <a:pt x="2365241" y="1049101"/>
                <a:pt x="1321381" y="1154030"/>
                <a:pt x="901666" y="1125084"/>
              </a:cubicBezTo>
              <a:cubicBezTo>
                <a:pt x="481951" y="1096138"/>
                <a:pt x="225057" y="869999"/>
                <a:pt x="120128" y="701751"/>
              </a:cubicBezTo>
              <a:cubicBezTo>
                <a:pt x="15199" y="533503"/>
                <a:pt x="-142194" y="197007"/>
                <a:pt x="261239" y="93887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18</xdr:col>
      <xdr:colOff>196836</xdr:colOff>
      <xdr:row>22</xdr:row>
      <xdr:rowOff>83925</xdr:rowOff>
    </xdr:from>
    <xdr:to>
      <xdr:col>20</xdr:col>
      <xdr:colOff>479363</xdr:colOff>
      <xdr:row>29</xdr:row>
      <xdr:rowOff>196804</xdr:rowOff>
    </xdr:to>
    <xdr:sp macro="" textlink="">
      <xdr:nvSpPr>
        <xdr:cNvPr id="7" name="Freeform 6">
          <a:extLst>
            <a:ext uri="{FF2B5EF4-FFF2-40B4-BE49-F238E27FC236}">
              <a16:creationId xmlns:a16="http://schemas.microsoft.com/office/drawing/2014/main" id="{6E592BE2-C165-D149-B942-0CD929BD6FC9}"/>
            </a:ext>
          </a:extLst>
        </xdr:cNvPr>
        <xdr:cNvSpPr/>
      </xdr:nvSpPr>
      <xdr:spPr>
        <a:xfrm>
          <a:off x="15055836" y="4554325"/>
          <a:ext cx="1933527" cy="1535279"/>
        </a:xfrm>
        <a:custGeom>
          <a:avLst/>
          <a:gdLst>
            <a:gd name="csX0" fmla="*/ 150514 w 1932441"/>
            <a:gd name="csY0" fmla="*/ 24622 h 1556554"/>
            <a:gd name="csX1" fmla="*/ 866924 w 1932441"/>
            <a:gd name="csY1" fmla="*/ 68041 h 1556554"/>
            <a:gd name="csX2" fmla="*/ 1366241 w 1932441"/>
            <a:gd name="csY2" fmla="*/ 241716 h 1556554"/>
            <a:gd name="csX3" fmla="*/ 1908976 w 1932441"/>
            <a:gd name="csY3" fmla="*/ 545648 h 1556554"/>
            <a:gd name="csX4" fmla="*/ 1778719 w 1932441"/>
            <a:gd name="csY4" fmla="*/ 1120947 h 1556554"/>
            <a:gd name="csX5" fmla="*/ 1279403 w 1932441"/>
            <a:gd name="csY5" fmla="*/ 1555135 h 1556554"/>
            <a:gd name="csX6" fmla="*/ 476155 w 1932441"/>
            <a:gd name="csY6" fmla="*/ 1229494 h 1556554"/>
            <a:gd name="csX7" fmla="*/ 20258 w 1932441"/>
            <a:gd name="csY7" fmla="*/ 437101 h 1556554"/>
            <a:gd name="csX8" fmla="*/ 150514 w 1932441"/>
            <a:gd name="csY8" fmla="*/ 24622 h 1556554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</a:cxnLst>
          <a:rect l="l" t="t" r="r" b="b"/>
          <a:pathLst>
            <a:path w="1932441" h="1556554">
              <a:moveTo>
                <a:pt x="150514" y="24622"/>
              </a:moveTo>
              <a:cubicBezTo>
                <a:pt x="291625" y="-36888"/>
                <a:pt x="664303" y="31859"/>
                <a:pt x="866924" y="68041"/>
              </a:cubicBezTo>
              <a:cubicBezTo>
                <a:pt x="1069545" y="104223"/>
                <a:pt x="1192566" y="162115"/>
                <a:pt x="1366241" y="241716"/>
              </a:cubicBezTo>
              <a:cubicBezTo>
                <a:pt x="1539916" y="321317"/>
                <a:pt x="1840230" y="399110"/>
                <a:pt x="1908976" y="545648"/>
              </a:cubicBezTo>
              <a:cubicBezTo>
                <a:pt x="1977722" y="692186"/>
                <a:pt x="1883648" y="952699"/>
                <a:pt x="1778719" y="1120947"/>
              </a:cubicBezTo>
              <a:cubicBezTo>
                <a:pt x="1673790" y="1289195"/>
                <a:pt x="1496497" y="1537044"/>
                <a:pt x="1279403" y="1555135"/>
              </a:cubicBezTo>
              <a:cubicBezTo>
                <a:pt x="1062309" y="1573226"/>
                <a:pt x="686012" y="1415833"/>
                <a:pt x="476155" y="1229494"/>
              </a:cubicBezTo>
              <a:cubicBezTo>
                <a:pt x="266298" y="1043155"/>
                <a:pt x="69104" y="632486"/>
                <a:pt x="20258" y="437101"/>
              </a:cubicBezTo>
              <a:cubicBezTo>
                <a:pt x="-28588" y="241716"/>
                <a:pt x="9403" y="86132"/>
                <a:pt x="150514" y="24622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20</xdr:col>
      <xdr:colOff>591433</xdr:colOff>
      <xdr:row>13</xdr:row>
      <xdr:rowOff>9344</xdr:rowOff>
    </xdr:from>
    <xdr:to>
      <xdr:col>25</xdr:col>
      <xdr:colOff>100497</xdr:colOff>
      <xdr:row>22</xdr:row>
      <xdr:rowOff>143552</xdr:rowOff>
    </xdr:to>
    <xdr:sp macro="" textlink="">
      <xdr:nvSpPr>
        <xdr:cNvPr id="8" name="Freeform 7">
          <a:extLst>
            <a:ext uri="{FF2B5EF4-FFF2-40B4-BE49-F238E27FC236}">
              <a16:creationId xmlns:a16="http://schemas.microsoft.com/office/drawing/2014/main" id="{BC60A897-2645-FA45-B828-A58EBD4641DD}"/>
            </a:ext>
          </a:extLst>
        </xdr:cNvPr>
        <xdr:cNvSpPr/>
      </xdr:nvSpPr>
      <xdr:spPr>
        <a:xfrm>
          <a:off x="17101433" y="2650944"/>
          <a:ext cx="3636564" cy="1963008"/>
        </a:xfrm>
        <a:custGeom>
          <a:avLst/>
          <a:gdLst>
            <a:gd name="csX0" fmla="*/ 1861730 w 3633851"/>
            <a:gd name="csY0" fmla="*/ 1727408 h 1990362"/>
            <a:gd name="csX1" fmla="*/ 3131730 w 3633851"/>
            <a:gd name="csY1" fmla="*/ 1673135 h 1990362"/>
            <a:gd name="csX2" fmla="*/ 3555063 w 3633851"/>
            <a:gd name="csY2" fmla="*/ 1086981 h 1990362"/>
            <a:gd name="csX3" fmla="*/ 3500790 w 3633851"/>
            <a:gd name="csY3" fmla="*/ 544246 h 1990362"/>
            <a:gd name="csX4" fmla="*/ 2241644 w 3633851"/>
            <a:gd name="csY4" fmla="*/ 479118 h 1990362"/>
            <a:gd name="csX5" fmla="*/ 1536089 w 3633851"/>
            <a:gd name="csY5" fmla="*/ 34075 h 1990362"/>
            <a:gd name="csX6" fmla="*/ 765405 w 3633851"/>
            <a:gd name="csY6" fmla="*/ 120913 h 1990362"/>
            <a:gd name="csX7" fmla="*/ 16431 w 3633851"/>
            <a:gd name="csY7" fmla="*/ 837323 h 1990362"/>
            <a:gd name="csX8" fmla="*/ 276943 w 3633851"/>
            <a:gd name="csY8" fmla="*/ 1553733 h 1990362"/>
            <a:gd name="csX9" fmla="*/ 613439 w 3633851"/>
            <a:gd name="csY9" fmla="*/ 1987921 h 1990362"/>
            <a:gd name="csX10" fmla="*/ 1861730 w 3633851"/>
            <a:gd name="csY10" fmla="*/ 1727408 h 1990362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  <a:cxn ang="0">
              <a:pos x="csX8" y="csY8"/>
            </a:cxn>
            <a:cxn ang="0">
              <a:pos x="csX9" y="csY9"/>
            </a:cxn>
            <a:cxn ang="0">
              <a:pos x="csX10" y="csY10"/>
            </a:cxn>
          </a:cxnLst>
          <a:rect l="l" t="t" r="r" b="b"/>
          <a:pathLst>
            <a:path w="3633851" h="1990362">
              <a:moveTo>
                <a:pt x="1861730" y="1727408"/>
              </a:moveTo>
              <a:cubicBezTo>
                <a:pt x="2281445" y="1674944"/>
                <a:pt x="2849508" y="1779873"/>
                <a:pt x="3131730" y="1673135"/>
              </a:cubicBezTo>
              <a:cubicBezTo>
                <a:pt x="3413952" y="1566397"/>
                <a:pt x="3493553" y="1275129"/>
                <a:pt x="3555063" y="1086981"/>
              </a:cubicBezTo>
              <a:cubicBezTo>
                <a:pt x="3616573" y="898833"/>
                <a:pt x="3719693" y="645556"/>
                <a:pt x="3500790" y="544246"/>
              </a:cubicBezTo>
              <a:cubicBezTo>
                <a:pt x="3281887" y="442935"/>
                <a:pt x="2569094" y="564146"/>
                <a:pt x="2241644" y="479118"/>
              </a:cubicBezTo>
              <a:cubicBezTo>
                <a:pt x="1914194" y="394090"/>
                <a:pt x="1782129" y="93776"/>
                <a:pt x="1536089" y="34075"/>
              </a:cubicBezTo>
              <a:cubicBezTo>
                <a:pt x="1290049" y="-25626"/>
                <a:pt x="1018681" y="-12962"/>
                <a:pt x="765405" y="120913"/>
              </a:cubicBezTo>
              <a:cubicBezTo>
                <a:pt x="512129" y="254788"/>
                <a:pt x="97841" y="598520"/>
                <a:pt x="16431" y="837323"/>
              </a:cubicBezTo>
              <a:cubicBezTo>
                <a:pt x="-64979" y="1076126"/>
                <a:pt x="177442" y="1361967"/>
                <a:pt x="276943" y="1553733"/>
              </a:cubicBezTo>
              <a:cubicBezTo>
                <a:pt x="376444" y="1745499"/>
                <a:pt x="347499" y="1958975"/>
                <a:pt x="613439" y="1987921"/>
              </a:cubicBezTo>
              <a:cubicBezTo>
                <a:pt x="879379" y="2016867"/>
                <a:pt x="1442015" y="1779872"/>
                <a:pt x="1861730" y="1727408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15</xdr:col>
      <xdr:colOff>67725</xdr:colOff>
      <xdr:row>18</xdr:row>
      <xdr:rowOff>30976</xdr:rowOff>
    </xdr:from>
    <xdr:to>
      <xdr:col>18</xdr:col>
      <xdr:colOff>227550</xdr:colOff>
      <xdr:row>25</xdr:row>
      <xdr:rowOff>53777</xdr:rowOff>
    </xdr:to>
    <xdr:sp macro="" textlink="">
      <xdr:nvSpPr>
        <xdr:cNvPr id="9" name="Freeform 8">
          <a:extLst>
            <a:ext uri="{FF2B5EF4-FFF2-40B4-BE49-F238E27FC236}">
              <a16:creationId xmlns:a16="http://schemas.microsoft.com/office/drawing/2014/main" id="{44D1DF74-5ABC-8E4E-ADD6-E125D1C5FEF0}"/>
            </a:ext>
          </a:extLst>
        </xdr:cNvPr>
        <xdr:cNvSpPr/>
      </xdr:nvSpPr>
      <xdr:spPr>
        <a:xfrm>
          <a:off x="12450225" y="3688576"/>
          <a:ext cx="2636325" cy="1445201"/>
        </a:xfrm>
        <a:custGeom>
          <a:avLst/>
          <a:gdLst>
            <a:gd name="csX0" fmla="*/ 19113 w 2634697"/>
            <a:gd name="csY0" fmla="*/ 403212 h 1466476"/>
            <a:gd name="csX1" fmla="*/ 789796 w 2634697"/>
            <a:gd name="csY1" fmla="*/ 1456118 h 1466476"/>
            <a:gd name="csX2" fmla="*/ 2515694 w 2634697"/>
            <a:gd name="csY2" fmla="*/ 902528 h 1466476"/>
            <a:gd name="csX3" fmla="*/ 2255181 w 2634697"/>
            <a:gd name="csY3" fmla="*/ 272955 h 1466476"/>
            <a:gd name="csX4" fmla="*/ 409882 w 2634697"/>
            <a:gd name="csY4" fmla="*/ 1588 h 1466476"/>
            <a:gd name="csX5" fmla="*/ 19113 w 2634697"/>
            <a:gd name="csY5" fmla="*/ 403212 h 146647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2634697" h="1466476">
              <a:moveTo>
                <a:pt x="19113" y="403212"/>
              </a:moveTo>
              <a:cubicBezTo>
                <a:pt x="82432" y="645634"/>
                <a:pt x="373699" y="1372899"/>
                <a:pt x="789796" y="1456118"/>
              </a:cubicBezTo>
              <a:cubicBezTo>
                <a:pt x="1205893" y="1539337"/>
                <a:pt x="2271463" y="1099722"/>
                <a:pt x="2515694" y="902528"/>
              </a:cubicBezTo>
              <a:cubicBezTo>
                <a:pt x="2759925" y="705334"/>
                <a:pt x="2606150" y="423112"/>
                <a:pt x="2255181" y="272955"/>
              </a:cubicBezTo>
              <a:cubicBezTo>
                <a:pt x="1904212" y="122798"/>
                <a:pt x="778942" y="-16503"/>
                <a:pt x="409882" y="1588"/>
              </a:cubicBezTo>
              <a:cubicBezTo>
                <a:pt x="40822" y="19679"/>
                <a:pt x="-44206" y="160790"/>
                <a:pt x="19113" y="403212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17</xdr:col>
      <xdr:colOff>796725</xdr:colOff>
      <xdr:row>14</xdr:row>
      <xdr:rowOff>132676</xdr:rowOff>
    </xdr:from>
    <xdr:to>
      <xdr:col>20</xdr:col>
      <xdr:colOff>473962</xdr:colOff>
      <xdr:row>22</xdr:row>
      <xdr:rowOff>197848</xdr:rowOff>
    </xdr:to>
    <xdr:sp macro="" textlink="">
      <xdr:nvSpPr>
        <xdr:cNvPr id="10" name="Freeform 9">
          <a:extLst>
            <a:ext uri="{FF2B5EF4-FFF2-40B4-BE49-F238E27FC236}">
              <a16:creationId xmlns:a16="http://schemas.microsoft.com/office/drawing/2014/main" id="{A15083C3-CECB-1041-A08E-3460D501E7CF}"/>
            </a:ext>
          </a:extLst>
        </xdr:cNvPr>
        <xdr:cNvSpPr/>
      </xdr:nvSpPr>
      <xdr:spPr>
        <a:xfrm>
          <a:off x="14830225" y="2977476"/>
          <a:ext cx="2153737" cy="1690772"/>
        </a:xfrm>
        <a:custGeom>
          <a:avLst/>
          <a:gdLst>
            <a:gd name="csX0" fmla="*/ 299599 w 2152108"/>
            <a:gd name="csY0" fmla="*/ 963649 h 1715087"/>
            <a:gd name="csX1" fmla="*/ 28232 w 2152108"/>
            <a:gd name="csY1" fmla="*/ 507752 h 1715087"/>
            <a:gd name="csX2" fmla="*/ 896608 w 2152108"/>
            <a:gd name="csY2" fmla="*/ 8436 h 1715087"/>
            <a:gd name="csX3" fmla="*/ 2101480 w 2152108"/>
            <a:gd name="csY3" fmla="*/ 941940 h 1715087"/>
            <a:gd name="csX4" fmla="*/ 1851822 w 2152108"/>
            <a:gd name="csY4" fmla="*/ 1571512 h 1715087"/>
            <a:gd name="csX5" fmla="*/ 1167975 w 2152108"/>
            <a:gd name="csY5" fmla="*/ 1669205 h 1715087"/>
            <a:gd name="csX6" fmla="*/ 299599 w 2152108"/>
            <a:gd name="csY6" fmla="*/ 963649 h 1715087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152108" h="1715087">
              <a:moveTo>
                <a:pt x="299599" y="963649"/>
              </a:moveTo>
              <a:cubicBezTo>
                <a:pt x="109642" y="770074"/>
                <a:pt x="-71269" y="666954"/>
                <a:pt x="28232" y="507752"/>
              </a:cubicBezTo>
              <a:cubicBezTo>
                <a:pt x="127733" y="348550"/>
                <a:pt x="551067" y="-63929"/>
                <a:pt x="896608" y="8436"/>
              </a:cubicBezTo>
              <a:cubicBezTo>
                <a:pt x="1242149" y="80801"/>
                <a:pt x="1942278" y="681427"/>
                <a:pt x="2101480" y="941940"/>
              </a:cubicBezTo>
              <a:cubicBezTo>
                <a:pt x="2260682" y="1202453"/>
                <a:pt x="2007406" y="1450301"/>
                <a:pt x="1851822" y="1571512"/>
              </a:cubicBezTo>
              <a:cubicBezTo>
                <a:pt x="1696238" y="1692723"/>
                <a:pt x="1419442" y="1768706"/>
                <a:pt x="1167975" y="1669205"/>
              </a:cubicBezTo>
              <a:cubicBezTo>
                <a:pt x="916508" y="1569704"/>
                <a:pt x="489556" y="1157224"/>
                <a:pt x="299599" y="963649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2</xdr:col>
      <xdr:colOff>54371</xdr:colOff>
      <xdr:row>47</xdr:row>
      <xdr:rowOff>75538</xdr:rowOff>
    </xdr:from>
    <xdr:to>
      <xdr:col>3</xdr:col>
      <xdr:colOff>773217</xdr:colOff>
      <xdr:row>55</xdr:row>
      <xdr:rowOff>171289</xdr:rowOff>
    </xdr:to>
    <xdr:sp macro="" textlink="">
      <xdr:nvSpPr>
        <xdr:cNvPr id="11" name="Freeform 10">
          <a:extLst>
            <a:ext uri="{FF2B5EF4-FFF2-40B4-BE49-F238E27FC236}">
              <a16:creationId xmlns:a16="http://schemas.microsoft.com/office/drawing/2014/main" id="{70D0756A-A0A8-914C-BCFE-4A6216E9F6C4}"/>
            </a:ext>
          </a:extLst>
        </xdr:cNvPr>
        <xdr:cNvSpPr/>
      </xdr:nvSpPr>
      <xdr:spPr>
        <a:xfrm>
          <a:off x="1705371" y="9625938"/>
          <a:ext cx="1544346" cy="1721351"/>
        </a:xfrm>
        <a:custGeom>
          <a:avLst/>
          <a:gdLst>
            <a:gd name="csX0" fmla="*/ 672893 w 1543803"/>
            <a:gd name="csY0" fmla="*/ 282667 h 1745665"/>
            <a:gd name="csX1" fmla="*/ 1139646 w 1543803"/>
            <a:gd name="csY1" fmla="*/ 445 h 1745665"/>
            <a:gd name="csX2" fmla="*/ 1541270 w 1543803"/>
            <a:gd name="csY2" fmla="*/ 260958 h 1745665"/>
            <a:gd name="csX3" fmla="*/ 944261 w 1543803"/>
            <a:gd name="csY3" fmla="*/ 1509248 h 1745665"/>
            <a:gd name="csX4" fmla="*/ 54176 w 1543803"/>
            <a:gd name="csY4" fmla="*/ 1693778 h 1745665"/>
            <a:gd name="csX5" fmla="*/ 162723 w 1543803"/>
            <a:gd name="csY5" fmla="*/ 879676 h 1745665"/>
            <a:gd name="csX6" fmla="*/ 672893 w 1543803"/>
            <a:gd name="csY6" fmla="*/ 282667 h 17456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1543803" h="1745665">
              <a:moveTo>
                <a:pt x="672893" y="282667"/>
              </a:moveTo>
              <a:cubicBezTo>
                <a:pt x="835713" y="136129"/>
                <a:pt x="994917" y="4063"/>
                <a:pt x="1139646" y="445"/>
              </a:cubicBezTo>
              <a:cubicBezTo>
                <a:pt x="1284375" y="-3173"/>
                <a:pt x="1573834" y="9491"/>
                <a:pt x="1541270" y="260958"/>
              </a:cubicBezTo>
              <a:cubicBezTo>
                <a:pt x="1508706" y="512425"/>
                <a:pt x="1192110" y="1270445"/>
                <a:pt x="944261" y="1509248"/>
              </a:cubicBezTo>
              <a:cubicBezTo>
                <a:pt x="696412" y="1748051"/>
                <a:pt x="184432" y="1798707"/>
                <a:pt x="54176" y="1693778"/>
              </a:cubicBezTo>
              <a:cubicBezTo>
                <a:pt x="-76080" y="1588849"/>
                <a:pt x="55985" y="1113052"/>
                <a:pt x="162723" y="879676"/>
              </a:cubicBezTo>
              <a:cubicBezTo>
                <a:pt x="269461" y="646300"/>
                <a:pt x="510073" y="429205"/>
                <a:pt x="672893" y="282667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585207</xdr:colOff>
      <xdr:row>60</xdr:row>
      <xdr:rowOff>138282</xdr:rowOff>
    </xdr:from>
    <xdr:to>
      <xdr:col>9</xdr:col>
      <xdr:colOff>18560</xdr:colOff>
      <xdr:row>69</xdr:row>
      <xdr:rowOff>83993</xdr:rowOff>
    </xdr:to>
    <xdr:sp macro="" textlink="">
      <xdr:nvSpPr>
        <xdr:cNvPr id="12" name="Freeform 11">
          <a:extLst>
            <a:ext uri="{FF2B5EF4-FFF2-40B4-BE49-F238E27FC236}">
              <a16:creationId xmlns:a16="http://schemas.microsoft.com/office/drawing/2014/main" id="{05781103-7CA2-6B4E-9B0F-F434DB9DDF59}"/>
            </a:ext>
          </a:extLst>
        </xdr:cNvPr>
        <xdr:cNvSpPr/>
      </xdr:nvSpPr>
      <xdr:spPr>
        <a:xfrm>
          <a:off x="6363707" y="12330282"/>
          <a:ext cx="1084353" cy="1774511"/>
        </a:xfrm>
        <a:custGeom>
          <a:avLst/>
          <a:gdLst>
            <a:gd name="csX0" fmla="*/ 1075562 w 1083267"/>
            <a:gd name="csY0" fmla="*/ 371889 h 1801865"/>
            <a:gd name="csX1" fmla="*/ 739066 w 1083267"/>
            <a:gd name="csY1" fmla="*/ 1555051 h 1801865"/>
            <a:gd name="csX2" fmla="*/ 304878 w 1083267"/>
            <a:gd name="csY2" fmla="*/ 1783000 h 1801865"/>
            <a:gd name="csX3" fmla="*/ 947 w 1083267"/>
            <a:gd name="csY3" fmla="*/ 1251120 h 1801865"/>
            <a:gd name="csX4" fmla="*/ 402571 w 1083267"/>
            <a:gd name="csY4" fmla="*/ 46248 h 1801865"/>
            <a:gd name="csX5" fmla="*/ 1075562 w 1083267"/>
            <a:gd name="csY5" fmla="*/ 371889 h 180186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083267" h="1801865">
              <a:moveTo>
                <a:pt x="1075562" y="371889"/>
              </a:moveTo>
              <a:cubicBezTo>
                <a:pt x="1131644" y="623356"/>
                <a:pt x="867513" y="1319866"/>
                <a:pt x="739066" y="1555051"/>
              </a:cubicBezTo>
              <a:cubicBezTo>
                <a:pt x="610619" y="1790236"/>
                <a:pt x="427898" y="1833655"/>
                <a:pt x="304878" y="1783000"/>
              </a:cubicBezTo>
              <a:cubicBezTo>
                <a:pt x="181858" y="1732345"/>
                <a:pt x="-15335" y="1540579"/>
                <a:pt x="947" y="1251120"/>
              </a:cubicBezTo>
              <a:cubicBezTo>
                <a:pt x="17229" y="961661"/>
                <a:pt x="227087" y="190977"/>
                <a:pt x="402571" y="46248"/>
              </a:cubicBezTo>
              <a:cubicBezTo>
                <a:pt x="578055" y="-98481"/>
                <a:pt x="1019480" y="120422"/>
                <a:pt x="1075562" y="371889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74153</xdr:colOff>
      <xdr:row>41</xdr:row>
      <xdr:rowOff>46131</xdr:rowOff>
    </xdr:from>
    <xdr:to>
      <xdr:col>7</xdr:col>
      <xdr:colOff>456726</xdr:colOff>
      <xdr:row>52</xdr:row>
      <xdr:rowOff>153990</xdr:rowOff>
    </xdr:to>
    <xdr:sp macro="" textlink="">
      <xdr:nvSpPr>
        <xdr:cNvPr id="13" name="Freeform 12">
          <a:extLst>
            <a:ext uri="{FF2B5EF4-FFF2-40B4-BE49-F238E27FC236}">
              <a16:creationId xmlns:a16="http://schemas.microsoft.com/office/drawing/2014/main" id="{9C88AA70-A5AE-414C-97E0-08033F63055B}"/>
            </a:ext>
          </a:extLst>
        </xdr:cNvPr>
        <xdr:cNvSpPr/>
      </xdr:nvSpPr>
      <xdr:spPr>
        <a:xfrm>
          <a:off x="4201653" y="8377331"/>
          <a:ext cx="2033573" cy="2343059"/>
        </a:xfrm>
        <a:custGeom>
          <a:avLst/>
          <a:gdLst>
            <a:gd name="csX0" fmla="*/ 1467215 w 2032488"/>
            <a:gd name="csY0" fmla="*/ 2320194 h 2376491"/>
            <a:gd name="csX1" fmla="*/ 2020805 w 2032488"/>
            <a:gd name="csY1" fmla="*/ 1028484 h 2376491"/>
            <a:gd name="csX2" fmla="*/ 1749437 w 2032488"/>
            <a:gd name="csY2" fmla="*/ 409766 h 2376491"/>
            <a:gd name="csX3" fmla="*/ 685676 w 2032488"/>
            <a:gd name="csY3" fmla="*/ 40707 h 2376491"/>
            <a:gd name="csX4" fmla="*/ 23540 w 2032488"/>
            <a:gd name="csY4" fmla="*/ 1386689 h 2376491"/>
            <a:gd name="csX5" fmla="*/ 273198 w 2032488"/>
            <a:gd name="csY5" fmla="*/ 2070536 h 2376491"/>
            <a:gd name="csX6" fmla="*/ 1467215 w 2032488"/>
            <a:gd name="csY6" fmla="*/ 2320194 h 237649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032488" h="2376491">
              <a:moveTo>
                <a:pt x="1467215" y="2320194"/>
              </a:moveTo>
              <a:cubicBezTo>
                <a:pt x="1758483" y="2146519"/>
                <a:pt x="1973768" y="1346889"/>
                <a:pt x="2020805" y="1028484"/>
              </a:cubicBezTo>
              <a:cubicBezTo>
                <a:pt x="2067842" y="710079"/>
                <a:pt x="1971958" y="574395"/>
                <a:pt x="1749437" y="409766"/>
              </a:cubicBezTo>
              <a:cubicBezTo>
                <a:pt x="1526916" y="245137"/>
                <a:pt x="973325" y="-122113"/>
                <a:pt x="685676" y="40707"/>
              </a:cubicBezTo>
              <a:cubicBezTo>
                <a:pt x="398027" y="203527"/>
                <a:pt x="92286" y="1048384"/>
                <a:pt x="23540" y="1386689"/>
              </a:cubicBezTo>
              <a:cubicBezTo>
                <a:pt x="-45206" y="1724994"/>
                <a:pt x="36204" y="1916761"/>
                <a:pt x="273198" y="2070536"/>
              </a:cubicBezTo>
              <a:cubicBezTo>
                <a:pt x="510192" y="2224311"/>
                <a:pt x="1175947" y="2493869"/>
                <a:pt x="1467215" y="2320194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7</xdr:col>
      <xdr:colOff>779462</xdr:colOff>
      <xdr:row>47</xdr:row>
      <xdr:rowOff>52230</xdr:rowOff>
    </xdr:from>
    <xdr:to>
      <xdr:col>12</xdr:col>
      <xdr:colOff>261232</xdr:colOff>
      <xdr:row>56</xdr:row>
      <xdr:rowOff>89942</xdr:rowOff>
    </xdr:to>
    <xdr:sp macro="" textlink="">
      <xdr:nvSpPr>
        <xdr:cNvPr id="14" name="Freeform 13">
          <a:extLst>
            <a:ext uri="{FF2B5EF4-FFF2-40B4-BE49-F238E27FC236}">
              <a16:creationId xmlns:a16="http://schemas.microsoft.com/office/drawing/2014/main" id="{0093E6B0-DED6-5F4F-B424-91DFB379F0CA}"/>
            </a:ext>
          </a:extLst>
        </xdr:cNvPr>
        <xdr:cNvSpPr/>
      </xdr:nvSpPr>
      <xdr:spPr>
        <a:xfrm>
          <a:off x="6557962" y="9602630"/>
          <a:ext cx="3609270" cy="1866512"/>
        </a:xfrm>
        <a:custGeom>
          <a:avLst/>
          <a:gdLst>
            <a:gd name="csX0" fmla="*/ 2076 w 3606556"/>
            <a:gd name="csY0" fmla="*/ 957257 h 1893866"/>
            <a:gd name="csX1" fmla="*/ 881307 w 3606556"/>
            <a:gd name="csY1" fmla="*/ 1858197 h 1893866"/>
            <a:gd name="csX2" fmla="*/ 3008828 w 3606556"/>
            <a:gd name="csY2" fmla="*/ 1641103 h 1893866"/>
            <a:gd name="csX3" fmla="*/ 3605837 w 3606556"/>
            <a:gd name="csY3" fmla="*/ 968112 h 1893866"/>
            <a:gd name="csX4" fmla="*/ 3063102 w 3606556"/>
            <a:gd name="csY4" fmla="*/ 23753 h 1893866"/>
            <a:gd name="csX5" fmla="*/ 718487 w 3606556"/>
            <a:gd name="csY5" fmla="*/ 338539 h 1893866"/>
            <a:gd name="csX6" fmla="*/ 2076 w 3606556"/>
            <a:gd name="csY6" fmla="*/ 957257 h 1893866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606556" h="1893866">
              <a:moveTo>
                <a:pt x="2076" y="957257"/>
              </a:moveTo>
              <a:cubicBezTo>
                <a:pt x="29213" y="1210533"/>
                <a:pt x="380182" y="1744223"/>
                <a:pt x="881307" y="1858197"/>
              </a:cubicBezTo>
              <a:cubicBezTo>
                <a:pt x="1382432" y="1972171"/>
                <a:pt x="2554740" y="1789451"/>
                <a:pt x="3008828" y="1641103"/>
              </a:cubicBezTo>
              <a:cubicBezTo>
                <a:pt x="3462916" y="1492756"/>
                <a:pt x="3596791" y="1237670"/>
                <a:pt x="3605837" y="968112"/>
              </a:cubicBezTo>
              <a:cubicBezTo>
                <a:pt x="3614883" y="698554"/>
                <a:pt x="3544327" y="128682"/>
                <a:pt x="3063102" y="23753"/>
              </a:cubicBezTo>
              <a:cubicBezTo>
                <a:pt x="2581877" y="-81176"/>
                <a:pt x="1223231" y="186573"/>
                <a:pt x="718487" y="338539"/>
              </a:cubicBezTo>
              <a:cubicBezTo>
                <a:pt x="213743" y="490505"/>
                <a:pt x="-25061" y="703981"/>
                <a:pt x="2076" y="957257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4</xdr:col>
      <xdr:colOff>470818</xdr:colOff>
      <xdr:row>54</xdr:row>
      <xdr:rowOff>37542</xdr:rowOff>
    </xdr:from>
    <xdr:to>
      <xdr:col>7</xdr:col>
      <xdr:colOff>380420</xdr:colOff>
      <xdr:row>62</xdr:row>
      <xdr:rowOff>17872</xdr:rowOff>
    </xdr:to>
    <xdr:sp macro="" textlink="">
      <xdr:nvSpPr>
        <xdr:cNvPr id="15" name="Freeform 14">
          <a:extLst>
            <a:ext uri="{FF2B5EF4-FFF2-40B4-BE49-F238E27FC236}">
              <a16:creationId xmlns:a16="http://schemas.microsoft.com/office/drawing/2014/main" id="{2DBE53A4-9F48-254D-A2B1-C35ADB650A63}"/>
            </a:ext>
          </a:extLst>
        </xdr:cNvPr>
        <xdr:cNvSpPr/>
      </xdr:nvSpPr>
      <xdr:spPr>
        <a:xfrm>
          <a:off x="3772818" y="11010342"/>
          <a:ext cx="2386102" cy="1605930"/>
        </a:xfrm>
        <a:custGeom>
          <a:avLst/>
          <a:gdLst>
            <a:gd name="csX0" fmla="*/ 50208 w 2384474"/>
            <a:gd name="csY0" fmla="*/ 602885 h 1630245"/>
            <a:gd name="csX1" fmla="*/ 1255079 w 2384474"/>
            <a:gd name="csY1" fmla="*/ 1612373 h 1630245"/>
            <a:gd name="csX2" fmla="*/ 1993199 w 2384474"/>
            <a:gd name="csY2" fmla="*/ 1189039 h 1630245"/>
            <a:gd name="csX3" fmla="*/ 2383968 w 2384474"/>
            <a:gd name="csY3" fmla="*/ 440065 h 1630245"/>
            <a:gd name="csX4" fmla="*/ 2047473 w 2384474"/>
            <a:gd name="csY4" fmla="*/ 5877 h 1630245"/>
            <a:gd name="csX5" fmla="*/ 983712 w 2384474"/>
            <a:gd name="csY5" fmla="*/ 190407 h 1630245"/>
            <a:gd name="csX6" fmla="*/ 299866 w 2384474"/>
            <a:gd name="csY6" fmla="*/ 212116 h 1630245"/>
            <a:gd name="csX7" fmla="*/ 50208 w 2384474"/>
            <a:gd name="csY7" fmla="*/ 602885 h 1630245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2384474" h="1630245">
              <a:moveTo>
                <a:pt x="50208" y="602885"/>
              </a:moveTo>
              <a:cubicBezTo>
                <a:pt x="209410" y="836261"/>
                <a:pt x="931247" y="1514681"/>
                <a:pt x="1255079" y="1612373"/>
              </a:cubicBezTo>
              <a:cubicBezTo>
                <a:pt x="1578911" y="1710065"/>
                <a:pt x="1805051" y="1384424"/>
                <a:pt x="1993199" y="1189039"/>
              </a:cubicBezTo>
              <a:cubicBezTo>
                <a:pt x="2181347" y="993654"/>
                <a:pt x="2374922" y="637259"/>
                <a:pt x="2383968" y="440065"/>
              </a:cubicBezTo>
              <a:cubicBezTo>
                <a:pt x="2393014" y="242871"/>
                <a:pt x="2280849" y="47487"/>
                <a:pt x="2047473" y="5877"/>
              </a:cubicBezTo>
              <a:cubicBezTo>
                <a:pt x="1814097" y="-35733"/>
                <a:pt x="1274980" y="156034"/>
                <a:pt x="983712" y="190407"/>
              </a:cubicBezTo>
              <a:cubicBezTo>
                <a:pt x="692444" y="224780"/>
                <a:pt x="451832" y="145179"/>
                <a:pt x="299866" y="212116"/>
              </a:cubicBezTo>
              <a:cubicBezTo>
                <a:pt x="147900" y="279053"/>
                <a:pt x="-108994" y="369509"/>
                <a:pt x="50208" y="602885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  <xdr:twoCellAnchor>
    <xdr:from>
      <xdr:col>5</xdr:col>
      <xdr:colOff>456723</xdr:colOff>
      <xdr:row>19</xdr:row>
      <xdr:rowOff>105898</xdr:rowOff>
    </xdr:from>
    <xdr:to>
      <xdr:col>8</xdr:col>
      <xdr:colOff>661378</xdr:colOff>
      <xdr:row>32</xdr:row>
      <xdr:rowOff>34769</xdr:rowOff>
    </xdr:to>
    <xdr:sp macro="" textlink="">
      <xdr:nvSpPr>
        <xdr:cNvPr id="16" name="Freeform 15">
          <a:extLst>
            <a:ext uri="{FF2B5EF4-FFF2-40B4-BE49-F238E27FC236}">
              <a16:creationId xmlns:a16="http://schemas.microsoft.com/office/drawing/2014/main" id="{F2D9B337-90A6-A44A-BD50-9A1F2402B908}"/>
            </a:ext>
          </a:extLst>
        </xdr:cNvPr>
        <xdr:cNvSpPr/>
      </xdr:nvSpPr>
      <xdr:spPr>
        <a:xfrm>
          <a:off x="4584223" y="3966698"/>
          <a:ext cx="2681155" cy="2570471"/>
        </a:xfrm>
        <a:custGeom>
          <a:avLst/>
          <a:gdLst>
            <a:gd name="csX0" fmla="*/ 1623 w 2668264"/>
            <a:gd name="csY0" fmla="*/ 810794 h 2535713"/>
            <a:gd name="csX1" fmla="*/ 641397 w 2668264"/>
            <a:gd name="csY1" fmla="*/ 2462749 h 2535713"/>
            <a:gd name="csX2" fmla="*/ 1367112 w 2668264"/>
            <a:gd name="csY2" fmla="*/ 2128538 h 2535713"/>
            <a:gd name="csX3" fmla="*/ 2665758 w 2668264"/>
            <a:gd name="csY3" fmla="*/ 1087711 h 2535713"/>
            <a:gd name="csX4" fmla="*/ 1672676 w 2668264"/>
            <a:gd name="csY4" fmla="*/ 85079 h 2535713"/>
            <a:gd name="csX5" fmla="*/ 832375 w 2668264"/>
            <a:gd name="csY5" fmla="*/ 132824 h 2535713"/>
            <a:gd name="csX6" fmla="*/ 1623 w 2668264"/>
            <a:gd name="csY6" fmla="*/ 810794 h 2535713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668264" h="2535713">
              <a:moveTo>
                <a:pt x="1623" y="810794"/>
              </a:moveTo>
              <a:cubicBezTo>
                <a:pt x="-30207" y="1199115"/>
                <a:pt x="413816" y="2243125"/>
                <a:pt x="641397" y="2462749"/>
              </a:cubicBezTo>
              <a:cubicBezTo>
                <a:pt x="868978" y="2682373"/>
                <a:pt x="1029719" y="2357711"/>
                <a:pt x="1367112" y="2128538"/>
              </a:cubicBezTo>
              <a:cubicBezTo>
                <a:pt x="1704506" y="1899365"/>
                <a:pt x="2614831" y="1428288"/>
                <a:pt x="2665758" y="1087711"/>
              </a:cubicBezTo>
              <a:cubicBezTo>
                <a:pt x="2716685" y="747134"/>
                <a:pt x="1978240" y="244227"/>
                <a:pt x="1672676" y="85079"/>
              </a:cubicBezTo>
              <a:cubicBezTo>
                <a:pt x="1367112" y="-74069"/>
                <a:pt x="1107701" y="18237"/>
                <a:pt x="832375" y="132824"/>
              </a:cubicBezTo>
              <a:cubicBezTo>
                <a:pt x="557049" y="247411"/>
                <a:pt x="33453" y="422473"/>
                <a:pt x="1623" y="810794"/>
              </a:cubicBezTo>
              <a:close/>
            </a:path>
          </a:pathLst>
        </a:custGeom>
        <a:noFill/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GB" sz="1100"/>
        </a:p>
      </xdr:txBody>
    </xdr:sp>
    <xdr:clientData/>
  </xdr:twoCell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0.30461</cdr:x>
      <cdr:y>0.23505</cdr:y>
    </cdr:from>
    <cdr:to>
      <cdr:x>0.49766</cdr:x>
      <cdr:y>0.50627</cdr:y>
    </cdr:to>
    <cdr:sp macro="" textlink="">
      <cdr:nvSpPr>
        <cdr:cNvPr id="5" name="Freeform 4">
          <a:extLst xmlns:a="http://schemas.openxmlformats.org/drawingml/2006/main">
            <a:ext uri="{FF2B5EF4-FFF2-40B4-BE49-F238E27FC236}">
              <a16:creationId xmlns:a16="http://schemas.microsoft.com/office/drawing/2014/main" id="{8207F34D-BABB-DC5C-B125-B68137881CB4}"/>
            </a:ext>
          </a:extLst>
        </cdr:cNvPr>
        <cdr:cNvSpPr/>
      </cdr:nvSpPr>
      <cdr:spPr>
        <a:xfrm xmlns:a="http://schemas.openxmlformats.org/drawingml/2006/main">
          <a:off x="3000012" y="1545273"/>
          <a:ext cx="1901271" cy="1783078"/>
        </a:xfrm>
        <a:custGeom xmlns:a="http://schemas.openxmlformats.org/drawingml/2006/main">
          <a:avLst/>
          <a:gdLst>
            <a:gd name="csX0" fmla="*/ 1726668 w 1901271"/>
            <a:gd name="csY0" fmla="*/ 1434017 h 1783078"/>
            <a:gd name="csX1" fmla="*/ 890856 w 1901271"/>
            <a:gd name="csY1" fmla="*/ 1781367 h 1783078"/>
            <a:gd name="csX2" fmla="*/ 500087 w 1901271"/>
            <a:gd name="csY2" fmla="*/ 1542564 h 1783078"/>
            <a:gd name="csX3" fmla="*/ 770 w 1901271"/>
            <a:gd name="csY3" fmla="*/ 1010683 h 1783078"/>
            <a:gd name="csX4" fmla="*/ 619488 w 1901271"/>
            <a:gd name="csY4" fmla="*/ 120598 h 1783078"/>
            <a:gd name="csX5" fmla="*/ 1542138 w 1901271"/>
            <a:gd name="csY5" fmla="*/ 77179 h 1783078"/>
            <a:gd name="csX6" fmla="*/ 1889488 w 1901271"/>
            <a:gd name="csY6" fmla="*/ 761025 h 1783078"/>
            <a:gd name="csX7" fmla="*/ 1726668 w 1901271"/>
            <a:gd name="csY7" fmla="*/ 1434017 h 178307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  <a:cxn ang="0">
              <a:pos x="csX7" y="csY7"/>
            </a:cxn>
          </a:cxnLst>
          <a:rect l="l" t="t" r="r" b="b"/>
          <a:pathLst>
            <a:path w="1901271" h="1783078">
              <a:moveTo>
                <a:pt x="1726668" y="1434017"/>
              </a:moveTo>
              <a:cubicBezTo>
                <a:pt x="1560229" y="1604074"/>
                <a:pt x="1095286" y="1763276"/>
                <a:pt x="890856" y="1781367"/>
              </a:cubicBezTo>
              <a:cubicBezTo>
                <a:pt x="686426" y="1799458"/>
                <a:pt x="648435" y="1671011"/>
                <a:pt x="500087" y="1542564"/>
              </a:cubicBezTo>
              <a:cubicBezTo>
                <a:pt x="351739" y="1414117"/>
                <a:pt x="-19130" y="1247677"/>
                <a:pt x="770" y="1010683"/>
              </a:cubicBezTo>
              <a:cubicBezTo>
                <a:pt x="20670" y="773689"/>
                <a:pt x="362593" y="276182"/>
                <a:pt x="619488" y="120598"/>
              </a:cubicBezTo>
              <a:cubicBezTo>
                <a:pt x="876383" y="-34986"/>
                <a:pt x="1330471" y="-29559"/>
                <a:pt x="1542138" y="77179"/>
              </a:cubicBezTo>
              <a:cubicBezTo>
                <a:pt x="1753805" y="183917"/>
                <a:pt x="1856924" y="540313"/>
                <a:pt x="1889488" y="761025"/>
              </a:cubicBezTo>
              <a:cubicBezTo>
                <a:pt x="1922052" y="981737"/>
                <a:pt x="1893107" y="1263960"/>
                <a:pt x="1726668" y="1434017"/>
              </a:cubicBezTo>
              <a:close/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0.07335</cdr:x>
      <cdr:y>0.0271</cdr:y>
    </cdr:from>
    <cdr:to>
      <cdr:x>0.24987</cdr:x>
      <cdr:y>0.23498</cdr:y>
    </cdr:to>
    <cdr:sp macro="" textlink="">
      <cdr:nvSpPr>
        <cdr:cNvPr id="6" name="Freeform 5">
          <a:extLst xmlns:a="http://schemas.openxmlformats.org/drawingml/2006/main">
            <a:ext uri="{FF2B5EF4-FFF2-40B4-BE49-F238E27FC236}">
              <a16:creationId xmlns:a16="http://schemas.microsoft.com/office/drawing/2014/main" id="{6715E24C-3E18-84ED-51CF-DC32E4EBA37B}"/>
            </a:ext>
          </a:extLst>
        </cdr:cNvPr>
        <cdr:cNvSpPr/>
      </cdr:nvSpPr>
      <cdr:spPr>
        <a:xfrm xmlns:a="http://schemas.openxmlformats.org/drawingml/2006/main">
          <a:off x="722354" y="178130"/>
          <a:ext cx="1738536" cy="1366718"/>
        </a:xfrm>
        <a:custGeom xmlns:a="http://schemas.openxmlformats.org/drawingml/2006/main">
          <a:avLst/>
          <a:gdLst>
            <a:gd name="csX0" fmla="*/ 1344924 w 1738536"/>
            <a:gd name="csY0" fmla="*/ 1248937 h 1366718"/>
            <a:gd name="csX1" fmla="*/ 129198 w 1738536"/>
            <a:gd name="csY1" fmla="*/ 402271 h 1366718"/>
            <a:gd name="csX2" fmla="*/ 194326 w 1738536"/>
            <a:gd name="csY2" fmla="*/ 11502 h 1366718"/>
            <a:gd name="csX3" fmla="*/ 1540309 w 1738536"/>
            <a:gd name="csY3" fmla="*/ 814749 h 1366718"/>
            <a:gd name="csX4" fmla="*/ 1713984 w 1738536"/>
            <a:gd name="csY4" fmla="*/ 1314066 h 1366718"/>
            <a:gd name="csX5" fmla="*/ 1344924 w 1738536"/>
            <a:gd name="csY5" fmla="*/ 1248937 h 1366718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</a:cxnLst>
          <a:rect l="l" t="t" r="r" b="b"/>
          <a:pathLst>
            <a:path w="1738536" h="1366718">
              <a:moveTo>
                <a:pt x="1344924" y="1248937"/>
              </a:moveTo>
              <a:cubicBezTo>
                <a:pt x="1080793" y="1096971"/>
                <a:pt x="320964" y="608510"/>
                <a:pt x="129198" y="402271"/>
              </a:cubicBezTo>
              <a:cubicBezTo>
                <a:pt x="-62568" y="196032"/>
                <a:pt x="-40859" y="-57244"/>
                <a:pt x="194326" y="11502"/>
              </a:cubicBezTo>
              <a:cubicBezTo>
                <a:pt x="429511" y="80248"/>
                <a:pt x="1287033" y="597655"/>
                <a:pt x="1540309" y="814749"/>
              </a:cubicBezTo>
              <a:cubicBezTo>
                <a:pt x="1793585" y="1031843"/>
                <a:pt x="1742930" y="1241701"/>
                <a:pt x="1713984" y="1314066"/>
              </a:cubicBezTo>
              <a:cubicBezTo>
                <a:pt x="1685038" y="1386431"/>
                <a:pt x="1609055" y="1400903"/>
                <a:pt x="1344924" y="1248937"/>
              </a:cubicBezTo>
              <a:close/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0.71344</cdr:x>
      <cdr:y>0.11567</cdr:y>
    </cdr:from>
    <cdr:to>
      <cdr:x>0.95606</cdr:x>
      <cdr:y>0.46322</cdr:y>
    </cdr:to>
    <cdr:sp macro="" textlink="">
      <cdr:nvSpPr>
        <cdr:cNvPr id="7" name="Freeform 6">
          <a:extLst xmlns:a="http://schemas.openxmlformats.org/drawingml/2006/main">
            <a:ext uri="{FF2B5EF4-FFF2-40B4-BE49-F238E27FC236}">
              <a16:creationId xmlns:a16="http://schemas.microsoft.com/office/drawing/2014/main" id="{8BBFADAF-117A-D9D7-8DA5-4CBB43C3EF58}"/>
            </a:ext>
          </a:extLst>
        </cdr:cNvPr>
        <cdr:cNvSpPr/>
      </cdr:nvSpPr>
      <cdr:spPr>
        <a:xfrm xmlns:a="http://schemas.openxmlformats.org/drawingml/2006/main">
          <a:off x="7026444" y="760450"/>
          <a:ext cx="2389467" cy="2284850"/>
        </a:xfrm>
        <a:custGeom xmlns:a="http://schemas.openxmlformats.org/drawingml/2006/main">
          <a:avLst/>
          <a:gdLst>
            <a:gd name="csX0" fmla="*/ 12287 w 2389467"/>
            <a:gd name="csY0" fmla="*/ 937985 h 2284850"/>
            <a:gd name="csX1" fmla="*/ 663569 w 2389467"/>
            <a:gd name="csY1" fmla="*/ 1893199 h 2284850"/>
            <a:gd name="csX2" fmla="*/ 1944424 w 2389467"/>
            <a:gd name="csY2" fmla="*/ 2251404 h 2284850"/>
            <a:gd name="csX3" fmla="*/ 2389467 w 2389467"/>
            <a:gd name="csY3" fmla="*/ 1122515 h 2284850"/>
            <a:gd name="csX4" fmla="*/ 1944424 w 2389467"/>
            <a:gd name="csY4" fmla="*/ 58754 h 2284850"/>
            <a:gd name="csX5" fmla="*/ 370492 w 2389467"/>
            <a:gd name="csY5" fmla="*/ 221575 h 2284850"/>
            <a:gd name="csX6" fmla="*/ 12287 w 2389467"/>
            <a:gd name="csY6" fmla="*/ 937985 h 2284850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2389467" h="2284850">
              <a:moveTo>
                <a:pt x="12287" y="937985"/>
              </a:moveTo>
              <a:cubicBezTo>
                <a:pt x="61133" y="1216589"/>
                <a:pt x="341546" y="1674296"/>
                <a:pt x="663569" y="1893199"/>
              </a:cubicBezTo>
              <a:cubicBezTo>
                <a:pt x="985592" y="2112102"/>
                <a:pt x="1656774" y="2379851"/>
                <a:pt x="1944424" y="2251404"/>
              </a:cubicBezTo>
              <a:cubicBezTo>
                <a:pt x="2232074" y="2122957"/>
                <a:pt x="2389467" y="1487957"/>
                <a:pt x="2389467" y="1122515"/>
              </a:cubicBezTo>
              <a:cubicBezTo>
                <a:pt x="2389467" y="757073"/>
                <a:pt x="2280920" y="208911"/>
                <a:pt x="1944424" y="58754"/>
              </a:cubicBezTo>
              <a:cubicBezTo>
                <a:pt x="1607928" y="-91403"/>
                <a:pt x="685278" y="76846"/>
                <a:pt x="370492" y="221575"/>
              </a:cubicBezTo>
              <a:cubicBezTo>
                <a:pt x="55706" y="366304"/>
                <a:pt x="-36559" y="659381"/>
                <a:pt x="12287" y="937985"/>
              </a:cubicBezTo>
              <a:close/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  <cdr:relSizeAnchor xmlns:cdr="http://schemas.openxmlformats.org/drawingml/2006/chartDrawing">
    <cdr:from>
      <cdr:x>0.57527</cdr:x>
      <cdr:y>0.37741</cdr:y>
    </cdr:from>
    <cdr:to>
      <cdr:x>0.90164</cdr:x>
      <cdr:y>0.60003</cdr:y>
    </cdr:to>
    <cdr:sp macro="" textlink="">
      <cdr:nvSpPr>
        <cdr:cNvPr id="9" name="Freeform 8">
          <a:extLst xmlns:a="http://schemas.openxmlformats.org/drawingml/2006/main">
            <a:ext uri="{FF2B5EF4-FFF2-40B4-BE49-F238E27FC236}">
              <a16:creationId xmlns:a16="http://schemas.microsoft.com/office/drawing/2014/main" id="{D4B441D2-E73E-2A55-78D4-19593855C612}"/>
            </a:ext>
          </a:extLst>
        </cdr:cNvPr>
        <cdr:cNvSpPr/>
      </cdr:nvSpPr>
      <cdr:spPr>
        <a:xfrm xmlns:a="http://schemas.openxmlformats.org/drawingml/2006/main">
          <a:off x="5639754" y="2412195"/>
          <a:ext cx="3199624" cy="1422861"/>
        </a:xfrm>
        <a:custGeom xmlns:a="http://schemas.openxmlformats.org/drawingml/2006/main">
          <a:avLst/>
          <a:gdLst>
            <a:gd name="csX0" fmla="*/ 242829 w 3199624"/>
            <a:gd name="csY0" fmla="*/ 147189 h 1422861"/>
            <a:gd name="csX1" fmla="*/ 42302 w 3199624"/>
            <a:gd name="csY1" fmla="*/ 1140272 h 1422861"/>
            <a:gd name="csX2" fmla="*/ 958994 w 3199624"/>
            <a:gd name="csY2" fmla="*/ 1407640 h 1422861"/>
            <a:gd name="csX3" fmla="*/ 3136137 w 3199624"/>
            <a:gd name="csY3" fmla="*/ 1302603 h 1422861"/>
            <a:gd name="csX4" fmla="*/ 2477265 w 3199624"/>
            <a:gd name="csY4" fmla="*/ 586437 h 1422861"/>
            <a:gd name="csX5" fmla="*/ 1035385 w 3199624"/>
            <a:gd name="csY5" fmla="*/ 51700 h 1422861"/>
            <a:gd name="csX6" fmla="*/ 242829 w 3199624"/>
            <a:gd name="csY6" fmla="*/ 147189 h 1422861"/>
          </a:gdLst>
          <a:ahLst/>
          <a:cxnLst>
            <a:cxn ang="0">
              <a:pos x="csX0" y="csY0"/>
            </a:cxn>
            <a:cxn ang="0">
              <a:pos x="csX1" y="csY1"/>
            </a:cxn>
            <a:cxn ang="0">
              <a:pos x="csX2" y="csY2"/>
            </a:cxn>
            <a:cxn ang="0">
              <a:pos x="csX3" y="csY3"/>
            </a:cxn>
            <a:cxn ang="0">
              <a:pos x="csX4" y="csY4"/>
            </a:cxn>
            <a:cxn ang="0">
              <a:pos x="csX5" y="csY5"/>
            </a:cxn>
            <a:cxn ang="0">
              <a:pos x="csX6" y="csY6"/>
            </a:cxn>
          </a:cxnLst>
          <a:rect l="l" t="t" r="r" b="b"/>
          <a:pathLst>
            <a:path w="3199624" h="1422861">
              <a:moveTo>
                <a:pt x="242829" y="147189"/>
              </a:moveTo>
              <a:cubicBezTo>
                <a:pt x="77315" y="328618"/>
                <a:pt x="-77059" y="930197"/>
                <a:pt x="42302" y="1140272"/>
              </a:cubicBezTo>
              <a:cubicBezTo>
                <a:pt x="161663" y="1350347"/>
                <a:pt x="443355" y="1380585"/>
                <a:pt x="958994" y="1407640"/>
              </a:cubicBezTo>
              <a:cubicBezTo>
                <a:pt x="1474633" y="1434695"/>
                <a:pt x="2883092" y="1439470"/>
                <a:pt x="3136137" y="1302603"/>
              </a:cubicBezTo>
              <a:cubicBezTo>
                <a:pt x="3389182" y="1165736"/>
                <a:pt x="2827390" y="794921"/>
                <a:pt x="2477265" y="586437"/>
              </a:cubicBezTo>
              <a:cubicBezTo>
                <a:pt x="2127140" y="377953"/>
                <a:pt x="1401425" y="128091"/>
                <a:pt x="1035385" y="51700"/>
              </a:cubicBezTo>
              <a:cubicBezTo>
                <a:pt x="669345" y="-24691"/>
                <a:pt x="408343" y="-34240"/>
                <a:pt x="242829" y="147189"/>
              </a:cubicBezTo>
              <a:close/>
            </a:path>
          </a:pathLst>
        </a:custGeom>
        <a:noFill xmlns:a="http://schemas.openxmlformats.org/drawingml/2006/main"/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endParaRPr lang="en-GB" kern="1200"/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liveeduisegiunl-my.sharepoint.com/Users/mac/Documents/mvaprj.xlsx" TargetMode="External"/><Relationship Id="rId1" Type="http://schemas.openxmlformats.org/officeDocument/2006/relationships/externalLinkPath" Target="mvaprj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code"/>
    </sheetNames>
    <sheetDataSet>
      <sheetData sheetId="0"/>
      <sheetData sheetId="1">
        <row r="2">
          <cell r="C2" t="str">
            <v>aiMrk</v>
          </cell>
        </row>
        <row r="3">
          <cell r="C3" t="str">
            <v>aiProd</v>
          </cell>
        </row>
        <row r="4">
          <cell r="C4" t="str">
            <v>aiLog</v>
          </cell>
        </row>
        <row r="5">
          <cell r="C5" t="str">
            <v>aiFin</v>
          </cell>
        </row>
        <row r="6">
          <cell r="C6" t="str">
            <v>diffQual</v>
          </cell>
        </row>
        <row r="7">
          <cell r="C7" t="str">
            <v>diffSal</v>
          </cell>
        </row>
        <row r="8">
          <cell r="C8" t="str">
            <v>ictEmp</v>
          </cell>
        </row>
        <row r="9">
          <cell r="C9" t="str">
            <v>conEnergy</v>
          </cell>
        </row>
        <row r="10">
          <cell r="C10" t="str">
            <v>conICT</v>
          </cell>
        </row>
        <row r="11">
          <cell r="C11" t="str">
            <v>conEdu</v>
          </cell>
        </row>
        <row r="12">
          <cell r="C12" t="str">
            <v>unemp</v>
          </cell>
        </row>
        <row r="13">
          <cell r="C13" t="str">
            <v>intUse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2CEBB0-782E-4519-8D12-E93E82D36CC7}">
  <dimension ref="A1:N35"/>
  <sheetViews>
    <sheetView tabSelected="1" workbookViewId="0">
      <selection activeCell="G15" sqref="G15:H16"/>
    </sheetView>
  </sheetViews>
  <sheetFormatPr defaultColWidth="11" defaultRowHeight="15.75"/>
  <sheetData>
    <row r="1" spans="1:14" ht="17.10000000000000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ht="15.95">
      <c r="A2">
        <v>1</v>
      </c>
      <c r="B2" t="s">
        <v>14</v>
      </c>
      <c r="C2" s="4">
        <v>9.64</v>
      </c>
      <c r="D2" s="4">
        <v>5.15</v>
      </c>
      <c r="E2" s="4">
        <v>0.72</v>
      </c>
      <c r="F2" s="4">
        <v>5.62</v>
      </c>
      <c r="G2" s="5">
        <v>4.5199999999999996</v>
      </c>
      <c r="H2" s="5">
        <v>3.93</v>
      </c>
      <c r="I2">
        <v>20.45</v>
      </c>
      <c r="J2">
        <v>2.1</v>
      </c>
      <c r="K2">
        <v>1.7</v>
      </c>
      <c r="L2">
        <v>0.5</v>
      </c>
      <c r="M2">
        <v>3.6</v>
      </c>
      <c r="N2">
        <v>77.959999999999994</v>
      </c>
    </row>
    <row r="3" spans="1:14" ht="15.95">
      <c r="A3">
        <v>2</v>
      </c>
      <c r="B3" t="s">
        <v>15</v>
      </c>
      <c r="C3" s="4">
        <v>5.97</v>
      </c>
      <c r="D3" s="4">
        <v>5.31</v>
      </c>
      <c r="E3" s="4">
        <v>2.64</v>
      </c>
      <c r="F3" s="4">
        <v>7.8</v>
      </c>
      <c r="G3" s="5">
        <v>6.9</v>
      </c>
      <c r="H3" s="5">
        <v>5.77</v>
      </c>
      <c r="I3">
        <v>29.67</v>
      </c>
      <c r="J3">
        <v>2.2000000000000002</v>
      </c>
      <c r="K3">
        <v>1.6</v>
      </c>
      <c r="L3">
        <v>0.2</v>
      </c>
      <c r="M3">
        <v>3.5</v>
      </c>
      <c r="N3">
        <v>81.37</v>
      </c>
    </row>
    <row r="4" spans="1:14" ht="15.95">
      <c r="A4">
        <v>3</v>
      </c>
      <c r="B4" t="s">
        <v>16</v>
      </c>
      <c r="C4" s="4">
        <v>2.11</v>
      </c>
      <c r="D4" s="4">
        <v>1.27</v>
      </c>
      <c r="E4" s="4">
        <v>0.51</v>
      </c>
      <c r="F4" s="4">
        <v>1.1299999999999999</v>
      </c>
      <c r="G4" s="5">
        <v>3.1</v>
      </c>
      <c r="H4" s="5">
        <v>3.11</v>
      </c>
      <c r="I4">
        <v>18.78</v>
      </c>
      <c r="J4">
        <v>2.8</v>
      </c>
      <c r="K4">
        <v>2.8</v>
      </c>
      <c r="L4">
        <v>0.8</v>
      </c>
      <c r="M4">
        <v>2.6</v>
      </c>
      <c r="N4">
        <v>61.85</v>
      </c>
    </row>
    <row r="5" spans="1:14" ht="15.95">
      <c r="A5">
        <v>4</v>
      </c>
      <c r="B5" t="s">
        <v>17</v>
      </c>
      <c r="C5" s="4">
        <v>3.1</v>
      </c>
      <c r="D5" s="4">
        <v>1.1599999999999999</v>
      </c>
      <c r="E5" s="4">
        <v>0.38</v>
      </c>
      <c r="F5" s="4">
        <v>1.03</v>
      </c>
      <c r="G5" s="5">
        <v>2.6</v>
      </c>
      <c r="H5" s="5">
        <v>2.31</v>
      </c>
      <c r="I5">
        <v>16.190000000000001</v>
      </c>
      <c r="J5">
        <v>3.3</v>
      </c>
      <c r="K5">
        <v>3.4</v>
      </c>
      <c r="L5">
        <v>0.5</v>
      </c>
      <c r="M5">
        <v>3</v>
      </c>
      <c r="N5">
        <v>73.52</v>
      </c>
    </row>
    <row r="6" spans="1:14" ht="15.95">
      <c r="A6">
        <v>5</v>
      </c>
      <c r="B6" t="s">
        <v>18</v>
      </c>
      <c r="C6" s="4">
        <v>3.56</v>
      </c>
      <c r="D6" s="4">
        <v>0.54</v>
      </c>
      <c r="E6" s="4">
        <v>0.27</v>
      </c>
      <c r="F6" s="4">
        <v>1.55</v>
      </c>
      <c r="G6" s="5">
        <v>4.68</v>
      </c>
      <c r="H6" s="5">
        <v>4.72</v>
      </c>
      <c r="I6">
        <v>29.12</v>
      </c>
      <c r="J6">
        <v>1.9</v>
      </c>
      <c r="K6">
        <v>1.8</v>
      </c>
      <c r="L6">
        <v>1.9</v>
      </c>
      <c r="M6">
        <v>3.5</v>
      </c>
      <c r="N6">
        <v>89.22</v>
      </c>
    </row>
    <row r="7" spans="1:14" ht="15.95">
      <c r="A7">
        <v>6</v>
      </c>
      <c r="B7" t="s">
        <v>19</v>
      </c>
      <c r="C7" s="4">
        <v>5.95</v>
      </c>
      <c r="D7" s="4">
        <v>1.81</v>
      </c>
      <c r="E7" s="4">
        <v>0.81</v>
      </c>
      <c r="F7" s="4">
        <v>2.41</v>
      </c>
      <c r="G7" s="5">
        <v>4.72</v>
      </c>
      <c r="H7" s="5">
        <v>4.3600000000000003</v>
      </c>
      <c r="I7">
        <v>20.75</v>
      </c>
      <c r="J7">
        <v>3.1</v>
      </c>
      <c r="K7">
        <v>1.9</v>
      </c>
      <c r="L7">
        <v>0.2</v>
      </c>
      <c r="M7">
        <v>1.8</v>
      </c>
      <c r="N7">
        <v>86.19</v>
      </c>
    </row>
    <row r="8" spans="1:14" ht="15.95">
      <c r="A8">
        <v>7</v>
      </c>
      <c r="B8" t="s">
        <v>20</v>
      </c>
      <c r="C8" s="4">
        <v>9.48</v>
      </c>
      <c r="D8" s="4">
        <v>4.4000000000000004</v>
      </c>
      <c r="E8" s="4">
        <v>2.2799999999999998</v>
      </c>
      <c r="F8" s="4">
        <v>8.3699999999999992</v>
      </c>
      <c r="G8" s="5">
        <v>6.8</v>
      </c>
      <c r="H8" s="5">
        <v>4.67</v>
      </c>
      <c r="I8">
        <v>31.65</v>
      </c>
      <c r="J8">
        <v>2</v>
      </c>
      <c r="K8">
        <v>2.2999999999999998</v>
      </c>
      <c r="L8">
        <v>0.4</v>
      </c>
      <c r="M8">
        <v>4.5999999999999996</v>
      </c>
      <c r="N8">
        <v>94.13</v>
      </c>
    </row>
    <row r="9" spans="1:14" ht="15.95">
      <c r="A9">
        <v>8</v>
      </c>
      <c r="B9" t="s">
        <v>21</v>
      </c>
      <c r="C9" s="4">
        <v>6.97</v>
      </c>
      <c r="D9" s="4">
        <v>3.47</v>
      </c>
      <c r="E9" s="4">
        <v>1</v>
      </c>
      <c r="F9" s="4">
        <v>2.95</v>
      </c>
      <c r="G9" s="5">
        <v>3.09</v>
      </c>
      <c r="H9" s="5">
        <v>2.5</v>
      </c>
      <c r="I9">
        <v>19.97</v>
      </c>
      <c r="J9">
        <v>4.3</v>
      </c>
      <c r="K9">
        <v>1.9</v>
      </c>
      <c r="L9">
        <v>0.3</v>
      </c>
      <c r="M9">
        <v>5.6</v>
      </c>
      <c r="N9">
        <v>81.239999999999995</v>
      </c>
    </row>
    <row r="10" spans="1:14" ht="15.95">
      <c r="A10">
        <v>9</v>
      </c>
      <c r="B10" t="s">
        <v>22</v>
      </c>
      <c r="C10" s="4">
        <v>9.25</v>
      </c>
      <c r="D10" s="4">
        <v>5.9</v>
      </c>
      <c r="E10" s="4">
        <v>1.83</v>
      </c>
      <c r="F10" s="4">
        <v>6.62</v>
      </c>
      <c r="G10" s="5">
        <v>3.52</v>
      </c>
      <c r="H10" s="5">
        <v>3.4</v>
      </c>
      <c r="I10">
        <v>30.63</v>
      </c>
      <c r="J10">
        <v>2.5</v>
      </c>
      <c r="K10">
        <v>1.7</v>
      </c>
      <c r="L10">
        <v>0.1</v>
      </c>
      <c r="M10">
        <v>5.8</v>
      </c>
      <c r="N10">
        <v>88.54</v>
      </c>
    </row>
    <row r="11" spans="1:14" ht="15.95">
      <c r="A11">
        <v>10</v>
      </c>
      <c r="B11" t="s">
        <v>23</v>
      </c>
      <c r="C11" s="22">
        <v>1.1299999999999999</v>
      </c>
      <c r="D11" s="22">
        <v>1.86</v>
      </c>
      <c r="E11" s="4">
        <v>0.59</v>
      </c>
      <c r="F11" s="22">
        <v>5.33</v>
      </c>
      <c r="G11" s="24">
        <v>4.2130434782608699</v>
      </c>
      <c r="H11" s="24">
        <v>3.9860869565217381</v>
      </c>
      <c r="I11">
        <v>16.649999999999999</v>
      </c>
      <c r="J11">
        <v>2.2999999999999998</v>
      </c>
      <c r="K11">
        <v>1.9</v>
      </c>
      <c r="L11">
        <v>0.4</v>
      </c>
      <c r="M11">
        <v>4.8</v>
      </c>
      <c r="N11">
        <v>75.98</v>
      </c>
    </row>
    <row r="12" spans="1:14" ht="15.95">
      <c r="A12">
        <v>11</v>
      </c>
      <c r="B12" t="s">
        <v>24</v>
      </c>
      <c r="C12" s="4">
        <v>6.55</v>
      </c>
      <c r="D12" s="4">
        <v>4.8499999999999996</v>
      </c>
      <c r="E12" s="4">
        <v>0.83</v>
      </c>
      <c r="F12" s="4">
        <v>4.76</v>
      </c>
      <c r="G12" s="5">
        <v>6.92</v>
      </c>
      <c r="H12" s="5">
        <v>6.53</v>
      </c>
      <c r="I12">
        <v>23.63</v>
      </c>
      <c r="J12">
        <v>2.5</v>
      </c>
      <c r="K12">
        <v>1.6</v>
      </c>
      <c r="L12">
        <v>0.4</v>
      </c>
      <c r="M12">
        <v>2.4</v>
      </c>
      <c r="N12">
        <v>77.760000000000005</v>
      </c>
    </row>
    <row r="13" spans="1:14" ht="15.95">
      <c r="A13">
        <v>12</v>
      </c>
      <c r="B13" t="s">
        <v>25</v>
      </c>
      <c r="C13" s="4">
        <v>1.68</v>
      </c>
      <c r="D13" s="4">
        <v>0.89</v>
      </c>
      <c r="E13" s="4">
        <v>0.3</v>
      </c>
      <c r="F13" s="4">
        <v>1</v>
      </c>
      <c r="G13" s="5">
        <v>3.77</v>
      </c>
      <c r="H13" s="5">
        <v>3.8</v>
      </c>
      <c r="I13">
        <v>24.43</v>
      </c>
      <c r="J13">
        <v>2.9</v>
      </c>
      <c r="K13">
        <v>3</v>
      </c>
      <c r="L13">
        <v>1.4</v>
      </c>
      <c r="M13">
        <v>6.2</v>
      </c>
      <c r="N13">
        <v>79.41</v>
      </c>
    </row>
    <row r="14" spans="1:14" ht="15.95">
      <c r="A14">
        <v>13</v>
      </c>
      <c r="B14" t="s">
        <v>26</v>
      </c>
      <c r="C14" s="4">
        <v>2.3199999999999998</v>
      </c>
      <c r="D14" s="4">
        <v>1.4</v>
      </c>
      <c r="E14" s="4">
        <v>0.36</v>
      </c>
      <c r="F14" s="4">
        <v>1.0900000000000001</v>
      </c>
      <c r="G14" s="5">
        <v>2.58</v>
      </c>
      <c r="H14" s="5">
        <v>3.15</v>
      </c>
      <c r="I14">
        <v>29.66</v>
      </c>
      <c r="J14">
        <v>1.5</v>
      </c>
      <c r="K14">
        <v>1.9</v>
      </c>
      <c r="L14">
        <v>0.7</v>
      </c>
      <c r="M14">
        <v>3.1</v>
      </c>
      <c r="N14">
        <v>83.19</v>
      </c>
    </row>
    <row r="15" spans="1:14" ht="15.95">
      <c r="A15">
        <v>14</v>
      </c>
      <c r="B15" t="s">
        <v>27</v>
      </c>
      <c r="C15" s="4">
        <v>5.63</v>
      </c>
      <c r="D15" s="4">
        <v>3.69</v>
      </c>
      <c r="E15" s="4">
        <v>1.53</v>
      </c>
      <c r="F15" s="4">
        <v>3.4</v>
      </c>
      <c r="G15" s="24">
        <v>4.2130434782608708</v>
      </c>
      <c r="H15" s="24">
        <v>3.9860869565217385</v>
      </c>
      <c r="I15">
        <v>30.59</v>
      </c>
      <c r="J15">
        <v>1.1000000000000001</v>
      </c>
      <c r="K15">
        <v>0.7</v>
      </c>
      <c r="L15">
        <v>0.3</v>
      </c>
      <c r="M15">
        <v>3.1</v>
      </c>
      <c r="N15">
        <v>93.17</v>
      </c>
    </row>
    <row r="16" spans="1:14" ht="15.95">
      <c r="A16">
        <v>15</v>
      </c>
      <c r="B16" t="s">
        <v>28</v>
      </c>
      <c r="C16" s="4">
        <v>2.93</v>
      </c>
      <c r="D16" s="4">
        <v>1.88</v>
      </c>
      <c r="E16" s="4">
        <v>0.56999999999999995</v>
      </c>
      <c r="F16" s="4">
        <v>1.1200000000000001</v>
      </c>
      <c r="G16" s="24">
        <v>4.2130434782608699</v>
      </c>
      <c r="H16" s="24">
        <v>3.9860869565217389</v>
      </c>
      <c r="I16">
        <v>13.21</v>
      </c>
      <c r="J16">
        <v>2.1</v>
      </c>
      <c r="K16">
        <v>1.5</v>
      </c>
      <c r="L16">
        <v>0.5</v>
      </c>
      <c r="M16">
        <v>3.8</v>
      </c>
      <c r="N16">
        <v>58.07</v>
      </c>
    </row>
    <row r="17" spans="1:14" ht="15.95">
      <c r="A17">
        <v>16</v>
      </c>
      <c r="B17" t="s">
        <v>29</v>
      </c>
      <c r="C17" s="4">
        <v>3.39</v>
      </c>
      <c r="D17" s="4">
        <v>1.84</v>
      </c>
      <c r="E17" s="4">
        <v>0.88</v>
      </c>
      <c r="F17" s="4">
        <v>1.93</v>
      </c>
      <c r="G17" s="5">
        <v>1.96</v>
      </c>
      <c r="H17" s="5">
        <v>1.93</v>
      </c>
      <c r="I17">
        <v>18.2</v>
      </c>
      <c r="J17">
        <v>2.8</v>
      </c>
      <c r="K17">
        <v>2.4</v>
      </c>
      <c r="L17">
        <v>0.7</v>
      </c>
      <c r="M17">
        <v>4.8</v>
      </c>
      <c r="N17">
        <v>70.72</v>
      </c>
    </row>
    <row r="18" spans="1:14" ht="15.95">
      <c r="A18">
        <v>17</v>
      </c>
      <c r="B18" t="s">
        <v>30</v>
      </c>
      <c r="C18" s="4">
        <v>2.85</v>
      </c>
      <c r="D18" s="4">
        <v>1.9</v>
      </c>
      <c r="E18" s="4">
        <v>0.95</v>
      </c>
      <c r="F18" s="4">
        <v>2.2799999999999998</v>
      </c>
      <c r="G18" s="5">
        <v>2.74</v>
      </c>
      <c r="H18" s="5">
        <v>2.62</v>
      </c>
      <c r="I18">
        <v>16.77</v>
      </c>
      <c r="J18">
        <v>1.9</v>
      </c>
      <c r="K18">
        <v>2.2000000000000002</v>
      </c>
      <c r="L18">
        <v>0.3</v>
      </c>
      <c r="M18">
        <v>5.0999999999999996</v>
      </c>
      <c r="N18">
        <v>79.73</v>
      </c>
    </row>
    <row r="19" spans="1:14" ht="15.95">
      <c r="A19">
        <v>18</v>
      </c>
      <c r="B19" t="s">
        <v>31</v>
      </c>
      <c r="C19" s="4">
        <v>4.2699999999999996</v>
      </c>
      <c r="D19" s="4">
        <v>4.1100000000000003</v>
      </c>
      <c r="E19" s="4">
        <v>1.08</v>
      </c>
      <c r="F19" s="4">
        <v>4.72</v>
      </c>
      <c r="G19" s="5">
        <v>6.15</v>
      </c>
      <c r="H19" s="5">
        <v>6.11</v>
      </c>
      <c r="I19">
        <v>24.25</v>
      </c>
      <c r="J19">
        <v>0.7</v>
      </c>
      <c r="K19">
        <v>0.6</v>
      </c>
      <c r="L19">
        <v>0.3</v>
      </c>
      <c r="M19">
        <v>4.3</v>
      </c>
      <c r="N19">
        <v>72.510000000000005</v>
      </c>
    </row>
    <row r="20" spans="1:14" ht="15.95">
      <c r="A20">
        <v>19</v>
      </c>
      <c r="B20" t="s">
        <v>32</v>
      </c>
      <c r="C20" s="4">
        <v>6.51</v>
      </c>
      <c r="D20" s="4">
        <v>3.93</v>
      </c>
      <c r="E20" s="4">
        <v>1.58</v>
      </c>
      <c r="F20" s="4">
        <v>1.24</v>
      </c>
      <c r="G20" s="5">
        <v>10.07</v>
      </c>
      <c r="H20" s="5">
        <v>10.56</v>
      </c>
      <c r="I20">
        <v>35.18</v>
      </c>
      <c r="J20">
        <v>0.8</v>
      </c>
      <c r="K20">
        <v>1.7</v>
      </c>
      <c r="L20">
        <v>0.9</v>
      </c>
      <c r="M20">
        <v>2.2999999999999998</v>
      </c>
      <c r="N20">
        <v>80.67</v>
      </c>
    </row>
    <row r="21" spans="1:14" ht="15.95">
      <c r="A21">
        <v>20</v>
      </c>
      <c r="B21" t="s">
        <v>33</v>
      </c>
      <c r="C21" s="4">
        <v>8.86</v>
      </c>
      <c r="D21" s="4">
        <v>4.68</v>
      </c>
      <c r="E21" s="4">
        <v>1.55</v>
      </c>
      <c r="F21" s="4">
        <v>5.5</v>
      </c>
      <c r="G21" s="5">
        <v>7.77</v>
      </c>
      <c r="H21" s="5">
        <v>5.95</v>
      </c>
      <c r="I21">
        <v>30.69</v>
      </c>
      <c r="J21">
        <v>1.7</v>
      </c>
      <c r="K21">
        <v>1.7</v>
      </c>
      <c r="L21">
        <v>0.4</v>
      </c>
      <c r="M21">
        <v>2.8</v>
      </c>
      <c r="N21">
        <v>96.28</v>
      </c>
    </row>
    <row r="22" spans="1:14" ht="15.95">
      <c r="A22">
        <v>21</v>
      </c>
      <c r="B22" t="s">
        <v>34</v>
      </c>
      <c r="C22" s="4">
        <v>2.4</v>
      </c>
      <c r="D22" s="4">
        <v>1.84</v>
      </c>
      <c r="E22" s="4">
        <v>0.6</v>
      </c>
      <c r="F22" s="4">
        <v>1.86</v>
      </c>
      <c r="G22" s="5">
        <v>0.91</v>
      </c>
      <c r="H22" s="5">
        <v>1.49</v>
      </c>
      <c r="I22">
        <v>25.99</v>
      </c>
      <c r="J22">
        <v>4.3</v>
      </c>
      <c r="K22">
        <v>2.4</v>
      </c>
      <c r="L22">
        <v>0.4</v>
      </c>
      <c r="M22">
        <v>1.8</v>
      </c>
      <c r="N22">
        <v>69.260000000000005</v>
      </c>
    </row>
    <row r="23" spans="1:14" ht="15.95">
      <c r="A23">
        <v>22</v>
      </c>
      <c r="B23" t="s">
        <v>35</v>
      </c>
      <c r="C23" s="4">
        <v>2.86</v>
      </c>
      <c r="D23" s="4">
        <v>2.4300000000000002</v>
      </c>
      <c r="E23" s="4">
        <v>0.79</v>
      </c>
      <c r="F23" s="4">
        <v>2.13</v>
      </c>
      <c r="G23" s="5">
        <v>2.2599999999999998</v>
      </c>
      <c r="H23" s="5">
        <v>3.07</v>
      </c>
      <c r="I23">
        <v>21.6</v>
      </c>
      <c r="J23">
        <v>1.7</v>
      </c>
      <c r="K23">
        <v>1.7</v>
      </c>
      <c r="L23">
        <v>0.9</v>
      </c>
      <c r="M23">
        <v>4.4000000000000004</v>
      </c>
      <c r="N23">
        <v>77.8</v>
      </c>
    </row>
    <row r="24" spans="1:14" ht="15.95">
      <c r="A24">
        <v>23</v>
      </c>
      <c r="B24" t="s">
        <v>36</v>
      </c>
      <c r="C24" s="4">
        <v>1.1299999999999999</v>
      </c>
      <c r="D24" s="4">
        <v>1.04</v>
      </c>
      <c r="E24" s="4">
        <v>0.34</v>
      </c>
      <c r="F24" s="4">
        <v>0.64</v>
      </c>
      <c r="G24" s="5">
        <v>4.2130434782608699</v>
      </c>
      <c r="H24" s="5">
        <v>3.9860869565217385</v>
      </c>
      <c r="I24">
        <v>15.57</v>
      </c>
      <c r="J24">
        <v>5.8</v>
      </c>
      <c r="K24">
        <v>2.9</v>
      </c>
      <c r="L24">
        <v>0.7</v>
      </c>
      <c r="M24">
        <v>3.1</v>
      </c>
      <c r="N24">
        <v>56.28</v>
      </c>
    </row>
    <row r="25" spans="1:14" ht="15.95">
      <c r="A25">
        <v>24</v>
      </c>
      <c r="B25" t="s">
        <v>37</v>
      </c>
      <c r="C25" s="4">
        <v>3.46</v>
      </c>
      <c r="D25" s="4">
        <v>1.86</v>
      </c>
      <c r="E25" s="4">
        <v>0.64</v>
      </c>
      <c r="F25" s="4">
        <v>2.36</v>
      </c>
      <c r="G25" s="5">
        <v>2.75</v>
      </c>
      <c r="H25" s="5">
        <v>2.4</v>
      </c>
      <c r="I25">
        <v>17.93</v>
      </c>
      <c r="J25">
        <v>4.0999999999999996</v>
      </c>
      <c r="K25">
        <v>2.2999999999999998</v>
      </c>
      <c r="L25">
        <v>0.8</v>
      </c>
      <c r="M25">
        <v>3.6</v>
      </c>
      <c r="N25">
        <v>70.069999999999993</v>
      </c>
    </row>
    <row r="26" spans="1:14" ht="15.95">
      <c r="A26">
        <v>25</v>
      </c>
      <c r="B26" t="s">
        <v>38</v>
      </c>
      <c r="C26" s="4">
        <v>6.84</v>
      </c>
      <c r="D26" s="4">
        <v>5.67</v>
      </c>
      <c r="E26" s="4">
        <v>2.59</v>
      </c>
      <c r="F26" s="4">
        <v>5.33</v>
      </c>
      <c r="G26" s="5">
        <v>2.75</v>
      </c>
      <c r="H26" s="5">
        <v>4.01</v>
      </c>
      <c r="I26">
        <v>17.84</v>
      </c>
      <c r="J26">
        <v>2.6</v>
      </c>
      <c r="K26">
        <v>2</v>
      </c>
      <c r="L26">
        <v>0.6</v>
      </c>
      <c r="M26">
        <v>2.4</v>
      </c>
      <c r="N26">
        <v>78.900000000000006</v>
      </c>
    </row>
    <row r="27" spans="1:14" ht="15.95">
      <c r="A27">
        <v>26</v>
      </c>
      <c r="B27" t="s">
        <v>39</v>
      </c>
      <c r="C27" s="4">
        <v>3.25</v>
      </c>
      <c r="D27" s="4">
        <v>3.03</v>
      </c>
      <c r="E27" s="4">
        <v>0.96</v>
      </c>
      <c r="F27" s="4">
        <v>2.16</v>
      </c>
      <c r="G27" s="5">
        <v>2.42</v>
      </c>
      <c r="H27" s="5">
        <v>2.8</v>
      </c>
      <c r="I27">
        <v>20.329999999999998</v>
      </c>
      <c r="J27">
        <v>1.7</v>
      </c>
      <c r="K27">
        <v>1.8</v>
      </c>
      <c r="L27">
        <v>0.7</v>
      </c>
      <c r="M27">
        <v>7.4</v>
      </c>
      <c r="N27">
        <v>79.989999999999995</v>
      </c>
    </row>
    <row r="28" spans="1:14" ht="15.95">
      <c r="A28">
        <v>27</v>
      </c>
      <c r="B28" t="s">
        <v>40</v>
      </c>
      <c r="C28" s="4">
        <v>10.02</v>
      </c>
      <c r="D28" s="4">
        <v>4.71</v>
      </c>
      <c r="E28" s="4">
        <v>1.17</v>
      </c>
      <c r="F28" s="4">
        <v>4.0599999999999996</v>
      </c>
      <c r="G28" s="5">
        <v>3.92</v>
      </c>
      <c r="H28" s="5">
        <v>2.4900000000000002</v>
      </c>
      <c r="I28">
        <v>22.19</v>
      </c>
      <c r="J28">
        <v>2.2000000000000002</v>
      </c>
      <c r="K28">
        <v>2</v>
      </c>
      <c r="L28">
        <v>0.1</v>
      </c>
      <c r="M28">
        <v>6.3</v>
      </c>
      <c r="N28">
        <v>89.35</v>
      </c>
    </row>
    <row r="29" spans="1:14">
      <c r="G29" s="23"/>
      <c r="H29" s="23"/>
    </row>
    <row r="34" spans="4:4">
      <c r="D34" s="5"/>
    </row>
    <row r="35" spans="4:4">
      <c r="D35" s="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5D3DA-869E-C14E-B198-58913D8CC621}">
  <dimension ref="A1:N28"/>
  <sheetViews>
    <sheetView topLeftCell="A13" workbookViewId="0">
      <selection activeCell="G2" sqref="G2"/>
    </sheetView>
  </sheetViews>
  <sheetFormatPr defaultColWidth="11" defaultRowHeight="15.95"/>
  <sheetData>
    <row r="1" spans="1:14" ht="17.10000000000000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>
        <v>1</v>
      </c>
      <c r="B2" t="s">
        <v>14</v>
      </c>
      <c r="C2" s="4">
        <v>9.64</v>
      </c>
      <c r="D2" s="4">
        <v>5.15</v>
      </c>
      <c r="E2" s="4">
        <v>0.72</v>
      </c>
      <c r="F2" s="4">
        <v>5.62</v>
      </c>
      <c r="G2" s="5">
        <v>4.5199999999999996</v>
      </c>
      <c r="H2" s="5">
        <v>3.93</v>
      </c>
      <c r="I2">
        <v>20.45</v>
      </c>
      <c r="J2">
        <v>2.1</v>
      </c>
      <c r="K2">
        <v>1.7</v>
      </c>
      <c r="L2">
        <v>0.5</v>
      </c>
      <c r="M2">
        <v>3.6</v>
      </c>
      <c r="N2">
        <v>77.959999999999994</v>
      </c>
    </row>
    <row r="3" spans="1:14">
      <c r="A3">
        <v>2</v>
      </c>
      <c r="B3" t="s">
        <v>15</v>
      </c>
      <c r="C3" s="4">
        <v>5.97</v>
      </c>
      <c r="D3" s="4">
        <v>5.31</v>
      </c>
      <c r="E3" s="4">
        <v>2.64</v>
      </c>
      <c r="F3" s="4">
        <v>7.8</v>
      </c>
      <c r="G3" s="5">
        <v>6.9</v>
      </c>
      <c r="H3" s="5">
        <v>5.77</v>
      </c>
      <c r="I3">
        <v>29.67</v>
      </c>
      <c r="J3">
        <v>2.2000000000000002</v>
      </c>
      <c r="K3">
        <v>1.6</v>
      </c>
      <c r="L3">
        <v>0.2</v>
      </c>
      <c r="M3">
        <v>3.5</v>
      </c>
      <c r="N3">
        <v>81.37</v>
      </c>
    </row>
    <row r="4" spans="1:14">
      <c r="A4">
        <v>3</v>
      </c>
      <c r="B4" t="s">
        <v>16</v>
      </c>
      <c r="C4" s="4">
        <v>2.11</v>
      </c>
      <c r="D4" s="4">
        <v>1.27</v>
      </c>
      <c r="E4" s="4">
        <v>0.51</v>
      </c>
      <c r="F4" s="4">
        <v>1.1299999999999999</v>
      </c>
      <c r="G4" s="5">
        <v>3.1</v>
      </c>
      <c r="H4" s="5">
        <v>3.11</v>
      </c>
      <c r="I4">
        <v>18.78</v>
      </c>
      <c r="J4">
        <v>2.8</v>
      </c>
      <c r="K4">
        <v>2.8</v>
      </c>
      <c r="L4">
        <v>0.8</v>
      </c>
      <c r="M4">
        <v>2.6</v>
      </c>
      <c r="N4">
        <v>61.85</v>
      </c>
    </row>
    <row r="5" spans="1:14">
      <c r="A5">
        <v>4</v>
      </c>
      <c r="B5" t="s">
        <v>17</v>
      </c>
      <c r="C5" s="4">
        <v>3.1</v>
      </c>
      <c r="D5" s="4">
        <v>1.1599999999999999</v>
      </c>
      <c r="E5" s="4">
        <v>0.38</v>
      </c>
      <c r="F5" s="4">
        <v>1.03</v>
      </c>
      <c r="G5" s="5">
        <v>2.6</v>
      </c>
      <c r="H5" s="5">
        <v>2.31</v>
      </c>
      <c r="I5">
        <v>16.190000000000001</v>
      </c>
      <c r="J5">
        <v>3.3</v>
      </c>
      <c r="K5">
        <v>3.4</v>
      </c>
      <c r="L5">
        <v>0.5</v>
      </c>
      <c r="M5">
        <v>3</v>
      </c>
      <c r="N5">
        <v>73.52</v>
      </c>
    </row>
    <row r="6" spans="1:14">
      <c r="A6">
        <v>5</v>
      </c>
      <c r="B6" t="s">
        <v>18</v>
      </c>
      <c r="C6" s="4">
        <v>3.56</v>
      </c>
      <c r="D6" s="4">
        <v>0.54</v>
      </c>
      <c r="E6" s="4">
        <v>0.27</v>
      </c>
      <c r="F6" s="4">
        <v>1.55</v>
      </c>
      <c r="G6" s="5">
        <v>4.68</v>
      </c>
      <c r="H6" s="5">
        <v>4.72</v>
      </c>
      <c r="I6">
        <v>29.12</v>
      </c>
      <c r="J6">
        <v>1.9</v>
      </c>
      <c r="K6">
        <v>1.8</v>
      </c>
      <c r="L6">
        <v>1.9</v>
      </c>
      <c r="M6">
        <v>3.5</v>
      </c>
      <c r="N6">
        <v>89.22</v>
      </c>
    </row>
    <row r="7" spans="1:14">
      <c r="A7">
        <v>6</v>
      </c>
      <c r="B7" t="s">
        <v>19</v>
      </c>
      <c r="C7" s="4">
        <v>5.95</v>
      </c>
      <c r="D7" s="4">
        <v>1.81</v>
      </c>
      <c r="E7" s="4">
        <v>0.81</v>
      </c>
      <c r="F7" s="4">
        <v>2.41</v>
      </c>
      <c r="G7" s="5">
        <v>4.72</v>
      </c>
      <c r="H7" s="5">
        <v>4.3600000000000003</v>
      </c>
      <c r="I7">
        <v>20.75</v>
      </c>
      <c r="J7">
        <v>3.1</v>
      </c>
      <c r="K7">
        <v>1.9</v>
      </c>
      <c r="L7">
        <v>0.2</v>
      </c>
      <c r="M7">
        <v>1.8</v>
      </c>
      <c r="N7">
        <v>86.19</v>
      </c>
    </row>
    <row r="8" spans="1:14">
      <c r="A8">
        <v>7</v>
      </c>
      <c r="B8" t="s">
        <v>20</v>
      </c>
      <c r="C8" s="4">
        <v>9.48</v>
      </c>
      <c r="D8" s="4">
        <v>4.4000000000000004</v>
      </c>
      <c r="E8" s="4">
        <v>2.2799999999999998</v>
      </c>
      <c r="F8" s="4">
        <v>8.3699999999999992</v>
      </c>
      <c r="G8" s="5">
        <v>6.8</v>
      </c>
      <c r="H8" s="5">
        <v>4.67</v>
      </c>
      <c r="I8">
        <v>31.65</v>
      </c>
      <c r="J8">
        <v>2</v>
      </c>
      <c r="K8">
        <v>2.2999999999999998</v>
      </c>
      <c r="L8">
        <v>0.4</v>
      </c>
      <c r="M8">
        <v>4.5999999999999996</v>
      </c>
      <c r="N8">
        <v>94.13</v>
      </c>
    </row>
    <row r="9" spans="1:14">
      <c r="A9">
        <v>8</v>
      </c>
      <c r="B9" t="s">
        <v>21</v>
      </c>
      <c r="C9" s="4">
        <v>6.97</v>
      </c>
      <c r="D9" s="4">
        <v>3.47</v>
      </c>
      <c r="E9" s="4">
        <v>1</v>
      </c>
      <c r="F9" s="4">
        <v>2.95</v>
      </c>
      <c r="G9" s="5">
        <v>3.09</v>
      </c>
      <c r="H9" s="5">
        <v>2.5</v>
      </c>
      <c r="I9">
        <v>19.97</v>
      </c>
      <c r="J9">
        <v>4.3</v>
      </c>
      <c r="K9">
        <v>1.9</v>
      </c>
      <c r="L9">
        <v>0.3</v>
      </c>
      <c r="M9">
        <v>5.6</v>
      </c>
      <c r="N9">
        <v>81.239999999999995</v>
      </c>
    </row>
    <row r="10" spans="1:14">
      <c r="A10">
        <v>9</v>
      </c>
      <c r="B10" t="s">
        <v>22</v>
      </c>
      <c r="C10" s="4">
        <v>9.25</v>
      </c>
      <c r="D10" s="4">
        <v>5.9</v>
      </c>
      <c r="E10" s="4">
        <v>1.83</v>
      </c>
      <c r="F10" s="4">
        <v>6.62</v>
      </c>
      <c r="G10" s="5">
        <v>3.52</v>
      </c>
      <c r="H10" s="5">
        <v>3.4</v>
      </c>
      <c r="I10">
        <v>30.63</v>
      </c>
      <c r="J10">
        <v>2.5</v>
      </c>
      <c r="K10">
        <v>1.7</v>
      </c>
      <c r="L10">
        <v>0.1</v>
      </c>
      <c r="M10">
        <v>5.8</v>
      </c>
      <c r="N10">
        <v>88.54</v>
      </c>
    </row>
    <row r="11" spans="1:14">
      <c r="A11">
        <v>10</v>
      </c>
      <c r="B11" t="s">
        <v>23</v>
      </c>
      <c r="C11" s="6">
        <v>2.93</v>
      </c>
      <c r="D11" s="6">
        <v>1.88</v>
      </c>
      <c r="E11" s="4">
        <v>0.59</v>
      </c>
      <c r="F11" s="6">
        <v>1.1200000000000001</v>
      </c>
      <c r="G11" s="7">
        <v>4.2130434782608699</v>
      </c>
      <c r="H11" s="7">
        <v>3.9860869565217381</v>
      </c>
      <c r="I11">
        <v>16.649999999999999</v>
      </c>
      <c r="J11">
        <v>2.2999999999999998</v>
      </c>
      <c r="K11">
        <v>1.9</v>
      </c>
      <c r="L11">
        <v>0.4</v>
      </c>
      <c r="M11">
        <v>4.8</v>
      </c>
      <c r="N11">
        <v>75.98</v>
      </c>
    </row>
    <row r="12" spans="1:14">
      <c r="A12">
        <v>11</v>
      </c>
      <c r="B12" t="s">
        <v>24</v>
      </c>
      <c r="C12" s="4">
        <v>6.55</v>
      </c>
      <c r="D12" s="4">
        <v>4.8499999999999996</v>
      </c>
      <c r="E12" s="4">
        <v>0.83</v>
      </c>
      <c r="F12" s="4">
        <v>4.76</v>
      </c>
      <c r="G12" s="5">
        <v>6.92</v>
      </c>
      <c r="H12" s="5">
        <v>6.53</v>
      </c>
      <c r="I12">
        <v>23.63</v>
      </c>
      <c r="J12">
        <v>2.5</v>
      </c>
      <c r="K12">
        <v>1.6</v>
      </c>
      <c r="L12">
        <v>0.4</v>
      </c>
      <c r="M12">
        <v>2.4</v>
      </c>
      <c r="N12">
        <v>77.760000000000005</v>
      </c>
    </row>
    <row r="13" spans="1:14">
      <c r="A13">
        <v>12</v>
      </c>
      <c r="B13" t="s">
        <v>25</v>
      </c>
      <c r="C13" s="4">
        <v>1.68</v>
      </c>
      <c r="D13" s="4">
        <v>0.89</v>
      </c>
      <c r="E13" s="4">
        <v>0.3</v>
      </c>
      <c r="F13" s="4">
        <v>1</v>
      </c>
      <c r="G13" s="5">
        <v>3.77</v>
      </c>
      <c r="H13" s="5">
        <v>3.8</v>
      </c>
      <c r="I13">
        <v>24.43</v>
      </c>
      <c r="J13">
        <v>2.9</v>
      </c>
      <c r="K13">
        <v>3</v>
      </c>
      <c r="L13">
        <v>1.4</v>
      </c>
      <c r="M13">
        <v>6.2</v>
      </c>
      <c r="N13">
        <v>79.41</v>
      </c>
    </row>
    <row r="14" spans="1:14">
      <c r="A14">
        <v>13</v>
      </c>
      <c r="B14" t="s">
        <v>26</v>
      </c>
      <c r="C14" s="4">
        <v>2.3199999999999998</v>
      </c>
      <c r="D14" s="4">
        <v>1.4</v>
      </c>
      <c r="E14" s="4">
        <v>0.36</v>
      </c>
      <c r="F14" s="4">
        <v>1.0900000000000001</v>
      </c>
      <c r="G14" s="5">
        <v>2.58</v>
      </c>
      <c r="H14" s="5">
        <v>3.15</v>
      </c>
      <c r="I14">
        <v>29.66</v>
      </c>
      <c r="J14">
        <v>1.5</v>
      </c>
      <c r="K14">
        <v>1.9</v>
      </c>
      <c r="L14">
        <v>0.7</v>
      </c>
      <c r="M14">
        <v>3.1</v>
      </c>
      <c r="N14">
        <v>83.19</v>
      </c>
    </row>
    <row r="15" spans="1:14">
      <c r="A15">
        <v>14</v>
      </c>
      <c r="B15" t="s">
        <v>27</v>
      </c>
      <c r="C15" s="4">
        <v>5.63</v>
      </c>
      <c r="D15" s="4">
        <v>3.69</v>
      </c>
      <c r="E15" s="4">
        <v>1.53</v>
      </c>
      <c r="F15" s="4">
        <v>3.4</v>
      </c>
      <c r="G15" s="7">
        <v>4.2130434782608708</v>
      </c>
      <c r="H15" s="7">
        <v>3.9860869565217385</v>
      </c>
      <c r="I15">
        <v>30.59</v>
      </c>
      <c r="J15">
        <v>1.1000000000000001</v>
      </c>
      <c r="K15">
        <v>0.7</v>
      </c>
      <c r="L15">
        <v>0.3</v>
      </c>
      <c r="M15">
        <v>3.1</v>
      </c>
      <c r="N15">
        <v>93.17</v>
      </c>
    </row>
    <row r="16" spans="1:14">
      <c r="A16">
        <v>15</v>
      </c>
      <c r="B16" t="s">
        <v>28</v>
      </c>
      <c r="C16" s="4">
        <v>2.93</v>
      </c>
      <c r="D16" s="4">
        <v>1.88</v>
      </c>
      <c r="E16" s="4">
        <v>0.56999999999999995</v>
      </c>
      <c r="F16" s="4">
        <v>1.1200000000000001</v>
      </c>
      <c r="G16" s="7">
        <v>4.2130434782608699</v>
      </c>
      <c r="H16" s="7">
        <v>3.9860869565217389</v>
      </c>
      <c r="I16">
        <v>13.21</v>
      </c>
      <c r="J16">
        <v>2.1</v>
      </c>
      <c r="K16">
        <v>1.5</v>
      </c>
      <c r="L16">
        <v>0.5</v>
      </c>
      <c r="M16">
        <v>3.8</v>
      </c>
      <c r="N16">
        <v>58.07</v>
      </c>
    </row>
    <row r="17" spans="1:14">
      <c r="A17">
        <v>16</v>
      </c>
      <c r="B17" t="s">
        <v>29</v>
      </c>
      <c r="C17" s="4">
        <v>3.39</v>
      </c>
      <c r="D17" s="4">
        <v>1.84</v>
      </c>
      <c r="E17" s="4">
        <v>0.88</v>
      </c>
      <c r="F17" s="4">
        <v>1.93</v>
      </c>
      <c r="G17" s="5">
        <v>1.96</v>
      </c>
      <c r="H17" s="5">
        <v>1.93</v>
      </c>
      <c r="I17">
        <v>18.2</v>
      </c>
      <c r="J17">
        <v>2.8</v>
      </c>
      <c r="K17">
        <v>2.4</v>
      </c>
      <c r="L17">
        <v>0.7</v>
      </c>
      <c r="M17">
        <v>4.8</v>
      </c>
      <c r="N17">
        <v>70.72</v>
      </c>
    </row>
    <row r="18" spans="1:14">
      <c r="A18">
        <v>17</v>
      </c>
      <c r="B18" t="s">
        <v>30</v>
      </c>
      <c r="C18" s="4">
        <v>2.85</v>
      </c>
      <c r="D18" s="4">
        <v>1.9</v>
      </c>
      <c r="E18" s="4">
        <v>0.95</v>
      </c>
      <c r="F18" s="4">
        <v>2.2799999999999998</v>
      </c>
      <c r="G18" s="5">
        <v>2.74</v>
      </c>
      <c r="H18" s="5">
        <v>2.62</v>
      </c>
      <c r="I18">
        <v>16.77</v>
      </c>
      <c r="J18">
        <v>1.9</v>
      </c>
      <c r="K18">
        <v>2.2000000000000002</v>
      </c>
      <c r="L18">
        <v>0.3</v>
      </c>
      <c r="M18">
        <v>5.0999999999999996</v>
      </c>
      <c r="N18">
        <v>79.73</v>
      </c>
    </row>
    <row r="19" spans="1:14">
      <c r="A19">
        <v>18</v>
      </c>
      <c r="B19" t="s">
        <v>31</v>
      </c>
      <c r="C19" s="4">
        <v>4.2699999999999996</v>
      </c>
      <c r="D19" s="4">
        <v>4.1100000000000003</v>
      </c>
      <c r="E19" s="4">
        <v>1.08</v>
      </c>
      <c r="F19" s="4">
        <v>4.72</v>
      </c>
      <c r="G19" s="5">
        <v>6.15</v>
      </c>
      <c r="H19" s="5">
        <v>6.11</v>
      </c>
      <c r="I19">
        <v>24.25</v>
      </c>
      <c r="J19">
        <v>0.7</v>
      </c>
      <c r="K19">
        <v>0.6</v>
      </c>
      <c r="L19">
        <v>0.3</v>
      </c>
      <c r="M19">
        <v>4.3</v>
      </c>
      <c r="N19">
        <v>72.510000000000005</v>
      </c>
    </row>
    <row r="20" spans="1:14">
      <c r="A20">
        <v>19</v>
      </c>
      <c r="B20" t="s">
        <v>32</v>
      </c>
      <c r="C20" s="4">
        <v>6.51</v>
      </c>
      <c r="D20" s="4">
        <v>3.93</v>
      </c>
      <c r="E20" s="4">
        <v>1.58</v>
      </c>
      <c r="F20" s="4">
        <v>1.24</v>
      </c>
      <c r="G20" s="5">
        <v>10.07</v>
      </c>
      <c r="H20" s="5">
        <v>10.56</v>
      </c>
      <c r="I20">
        <v>35.18</v>
      </c>
      <c r="J20">
        <v>0.8</v>
      </c>
      <c r="K20">
        <v>1.7</v>
      </c>
      <c r="L20">
        <v>0.9</v>
      </c>
      <c r="M20">
        <v>2.2999999999999998</v>
      </c>
      <c r="N20">
        <v>80.67</v>
      </c>
    </row>
    <row r="21" spans="1:14">
      <c r="A21">
        <v>20</v>
      </c>
      <c r="B21" t="s">
        <v>33</v>
      </c>
      <c r="C21" s="4">
        <v>8.86</v>
      </c>
      <c r="D21" s="4">
        <v>4.68</v>
      </c>
      <c r="E21" s="4">
        <v>1.55</v>
      </c>
      <c r="F21" s="4">
        <v>5.5</v>
      </c>
      <c r="G21" s="5">
        <v>7.77</v>
      </c>
      <c r="H21" s="5">
        <v>5.95</v>
      </c>
      <c r="I21">
        <v>30.69</v>
      </c>
      <c r="J21">
        <v>1.7</v>
      </c>
      <c r="K21">
        <v>1.7</v>
      </c>
      <c r="L21">
        <v>0.4</v>
      </c>
      <c r="M21">
        <v>2.8</v>
      </c>
      <c r="N21">
        <v>96.28</v>
      </c>
    </row>
    <row r="22" spans="1:14">
      <c r="A22">
        <v>21</v>
      </c>
      <c r="B22" t="s">
        <v>34</v>
      </c>
      <c r="C22" s="4">
        <v>2.4</v>
      </c>
      <c r="D22" s="4">
        <v>1.84</v>
      </c>
      <c r="E22" s="4">
        <v>0.6</v>
      </c>
      <c r="F22" s="4">
        <v>1.86</v>
      </c>
      <c r="G22" s="5">
        <v>0.91</v>
      </c>
      <c r="H22" s="5">
        <v>1.49</v>
      </c>
      <c r="I22">
        <v>25.99</v>
      </c>
      <c r="J22">
        <v>4.3</v>
      </c>
      <c r="K22">
        <v>2.4</v>
      </c>
      <c r="L22">
        <v>0.4</v>
      </c>
      <c r="M22">
        <v>1.8</v>
      </c>
      <c r="N22">
        <v>69.260000000000005</v>
      </c>
    </row>
    <row r="23" spans="1:14">
      <c r="A23">
        <v>22</v>
      </c>
      <c r="B23" t="s">
        <v>35</v>
      </c>
      <c r="C23" s="4">
        <v>2.86</v>
      </c>
      <c r="D23" s="4">
        <v>2.4300000000000002</v>
      </c>
      <c r="E23" s="4">
        <v>0.79</v>
      </c>
      <c r="F23" s="4">
        <v>2.13</v>
      </c>
      <c r="G23" s="5">
        <v>2.2599999999999998</v>
      </c>
      <c r="H23" s="5">
        <v>3.07</v>
      </c>
      <c r="I23">
        <v>21.6</v>
      </c>
      <c r="J23">
        <v>1.7</v>
      </c>
      <c r="K23">
        <v>1.7</v>
      </c>
      <c r="L23">
        <v>0.9</v>
      </c>
      <c r="M23">
        <v>4.4000000000000004</v>
      </c>
      <c r="N23">
        <v>77.8</v>
      </c>
    </row>
    <row r="24" spans="1:14">
      <c r="A24">
        <v>23</v>
      </c>
      <c r="B24" t="s">
        <v>36</v>
      </c>
      <c r="C24" s="4">
        <v>1.1299999999999999</v>
      </c>
      <c r="D24" s="4">
        <v>1.04</v>
      </c>
      <c r="E24" s="4">
        <v>0.34</v>
      </c>
      <c r="F24" s="4">
        <v>0.64</v>
      </c>
      <c r="G24" s="5">
        <v>4.2130434782608699</v>
      </c>
      <c r="H24" s="5">
        <v>3.9860869565217385</v>
      </c>
      <c r="I24">
        <v>15.57</v>
      </c>
      <c r="J24">
        <v>5.8</v>
      </c>
      <c r="K24">
        <v>2.9</v>
      </c>
      <c r="L24">
        <v>0.7</v>
      </c>
      <c r="M24">
        <v>3.1</v>
      </c>
      <c r="N24">
        <v>56.28</v>
      </c>
    </row>
    <row r="25" spans="1:14">
      <c r="A25">
        <v>24</v>
      </c>
      <c r="B25" t="s">
        <v>37</v>
      </c>
      <c r="C25" s="4">
        <v>3.46</v>
      </c>
      <c r="D25" s="4">
        <v>1.86</v>
      </c>
      <c r="E25" s="4">
        <v>0.64</v>
      </c>
      <c r="F25" s="4">
        <v>2.36</v>
      </c>
      <c r="G25" s="5">
        <v>2.75</v>
      </c>
      <c r="H25" s="5">
        <v>2.4</v>
      </c>
      <c r="I25">
        <v>17.93</v>
      </c>
      <c r="J25">
        <v>4.0999999999999996</v>
      </c>
      <c r="K25">
        <v>2.2999999999999998</v>
      </c>
      <c r="L25">
        <v>0.8</v>
      </c>
      <c r="M25">
        <v>3.6</v>
      </c>
      <c r="N25">
        <v>70.069999999999993</v>
      </c>
    </row>
    <row r="26" spans="1:14">
      <c r="A26">
        <v>25</v>
      </c>
      <c r="B26" t="s">
        <v>38</v>
      </c>
      <c r="C26" s="4">
        <v>6.84</v>
      </c>
      <c r="D26" s="4">
        <v>5.67</v>
      </c>
      <c r="E26" s="4">
        <v>2.59</v>
      </c>
      <c r="F26" s="4">
        <v>5.33</v>
      </c>
      <c r="G26" s="5">
        <v>2.75</v>
      </c>
      <c r="H26" s="5">
        <v>4.01</v>
      </c>
      <c r="I26">
        <v>17.84</v>
      </c>
      <c r="J26">
        <v>2.6</v>
      </c>
      <c r="K26">
        <v>2</v>
      </c>
      <c r="L26">
        <v>0.6</v>
      </c>
      <c r="M26">
        <v>2.4</v>
      </c>
      <c r="N26">
        <v>78.900000000000006</v>
      </c>
    </row>
    <row r="27" spans="1:14">
      <c r="A27">
        <v>26</v>
      </c>
      <c r="B27" t="s">
        <v>39</v>
      </c>
      <c r="C27" s="4">
        <v>3.25</v>
      </c>
      <c r="D27" s="4">
        <v>3.03</v>
      </c>
      <c r="E27" s="4">
        <v>0.96</v>
      </c>
      <c r="F27" s="4">
        <v>2.16</v>
      </c>
      <c r="G27" s="5">
        <v>2.42</v>
      </c>
      <c r="H27" s="5">
        <v>2.8</v>
      </c>
      <c r="I27">
        <v>20.329999999999998</v>
      </c>
      <c r="J27">
        <v>1.7</v>
      </c>
      <c r="K27">
        <v>1.8</v>
      </c>
      <c r="L27">
        <v>0.7</v>
      </c>
      <c r="M27">
        <v>7.4</v>
      </c>
      <c r="N27">
        <v>79.989999999999995</v>
      </c>
    </row>
    <row r="28" spans="1:14">
      <c r="A28">
        <v>27</v>
      </c>
      <c r="B28" t="s">
        <v>40</v>
      </c>
      <c r="C28" s="4">
        <v>10.02</v>
      </c>
      <c r="D28" s="4">
        <v>4.71</v>
      </c>
      <c r="E28" s="4">
        <v>1.17</v>
      </c>
      <c r="F28" s="4">
        <v>4.0599999999999996</v>
      </c>
      <c r="G28" s="5">
        <v>3.92</v>
      </c>
      <c r="H28" s="5">
        <v>2.4900000000000002</v>
      </c>
      <c r="I28">
        <v>22.19</v>
      </c>
      <c r="J28">
        <v>2.2000000000000002</v>
      </c>
      <c r="K28">
        <v>2</v>
      </c>
      <c r="L28">
        <v>0.1</v>
      </c>
      <c r="M28">
        <v>6.3</v>
      </c>
      <c r="N28">
        <v>89.35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9F860-D74C-8B49-A86E-4A904A628EF6}">
  <dimension ref="A1:C13"/>
  <sheetViews>
    <sheetView workbookViewId="0">
      <selection activeCell="B6" sqref="B6"/>
    </sheetView>
  </sheetViews>
  <sheetFormatPr defaultColWidth="11" defaultRowHeight="15.95"/>
  <cols>
    <col min="2" max="2" width="53.875" customWidth="1"/>
  </cols>
  <sheetData>
    <row r="1" spans="1:3">
      <c r="A1" s="8" t="s">
        <v>0</v>
      </c>
      <c r="B1" s="9" t="s">
        <v>41</v>
      </c>
      <c r="C1" s="9" t="s">
        <v>42</v>
      </c>
    </row>
    <row r="2" spans="1:3" ht="17.100000000000001">
      <c r="A2" s="10">
        <v>1</v>
      </c>
      <c r="B2" s="11" t="s">
        <v>43</v>
      </c>
      <c r="C2" s="12" t="s">
        <v>2</v>
      </c>
    </row>
    <row r="3" spans="1:3" ht="17.100000000000001">
      <c r="A3" s="10">
        <v>2</v>
      </c>
      <c r="B3" s="11" t="s">
        <v>44</v>
      </c>
      <c r="C3" s="12" t="s">
        <v>3</v>
      </c>
    </row>
    <row r="4" spans="1:3" ht="17.100000000000001">
      <c r="A4" s="10">
        <v>3</v>
      </c>
      <c r="B4" s="11" t="s">
        <v>45</v>
      </c>
      <c r="C4" s="12" t="s">
        <v>4</v>
      </c>
    </row>
    <row r="5" spans="1:3" ht="33.950000000000003">
      <c r="A5" s="10">
        <v>4</v>
      </c>
      <c r="B5" s="11" t="s">
        <v>46</v>
      </c>
      <c r="C5" s="12" t="s">
        <v>5</v>
      </c>
    </row>
    <row r="6" spans="1:3" ht="33.950000000000003">
      <c r="A6" s="10">
        <v>5</v>
      </c>
      <c r="B6" s="11" t="s">
        <v>47</v>
      </c>
      <c r="C6" s="12" t="s">
        <v>6</v>
      </c>
    </row>
    <row r="7" spans="1:3" ht="33.950000000000003">
      <c r="A7" s="10">
        <v>6</v>
      </c>
      <c r="B7" s="11" t="s">
        <v>48</v>
      </c>
      <c r="C7" s="12" t="s">
        <v>7</v>
      </c>
    </row>
    <row r="8" spans="1:3" ht="33.950000000000003">
      <c r="A8" s="10">
        <v>7</v>
      </c>
      <c r="B8" s="11" t="s">
        <v>49</v>
      </c>
      <c r="C8" s="12" t="s">
        <v>8</v>
      </c>
    </row>
    <row r="9" spans="1:3" ht="33.950000000000003">
      <c r="A9" s="10">
        <v>8</v>
      </c>
      <c r="B9" s="11" t="s">
        <v>50</v>
      </c>
      <c r="C9" s="12" t="s">
        <v>9</v>
      </c>
    </row>
    <row r="10" spans="1:3" ht="33.950000000000003">
      <c r="A10" s="10">
        <v>9</v>
      </c>
      <c r="B10" s="11" t="s">
        <v>51</v>
      </c>
      <c r="C10" s="12" t="s">
        <v>10</v>
      </c>
    </row>
    <row r="11" spans="1:3" ht="17.100000000000001">
      <c r="A11" s="10">
        <v>10</v>
      </c>
      <c r="B11" s="11" t="s">
        <v>52</v>
      </c>
      <c r="C11" s="12" t="s">
        <v>11</v>
      </c>
    </row>
    <row r="12" spans="1:3" ht="17.100000000000001">
      <c r="A12" s="10">
        <v>11</v>
      </c>
      <c r="B12" s="11" t="s">
        <v>53</v>
      </c>
      <c r="C12" s="12" t="s">
        <v>12</v>
      </c>
    </row>
    <row r="13" spans="1:3" ht="33.950000000000003">
      <c r="A13" s="10">
        <v>12</v>
      </c>
      <c r="B13" s="11" t="s">
        <v>54</v>
      </c>
      <c r="C13" s="12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D76639-D0A0-F24F-858D-640F66ECFD83}">
  <dimension ref="A1:R28"/>
  <sheetViews>
    <sheetView zoomScaleNormal="130" workbookViewId="0">
      <selection activeCell="G75" sqref="G75"/>
    </sheetView>
  </sheetViews>
  <sheetFormatPr defaultColWidth="11" defaultRowHeight="15.95"/>
  <cols>
    <col min="16" max="16" width="19.375" customWidth="1"/>
    <col min="17" max="17" width="17.625" customWidth="1"/>
    <col min="18" max="18" width="17.875" customWidth="1"/>
  </cols>
  <sheetData>
    <row r="1" spans="1:18" ht="33.950000000000003">
      <c r="A1" s="13" t="s">
        <v>0</v>
      </c>
      <c r="B1" s="13" t="s">
        <v>55</v>
      </c>
      <c r="C1" s="14" t="str" cm="1">
        <f t="array" ref="C1:N1">TRANSPOSE([1]code!$C$2:$C$13)</f>
        <v>aiMrk</v>
      </c>
      <c r="D1" s="14" t="str">
        <v>aiProd</v>
      </c>
      <c r="E1" s="14" t="str">
        <v>aiLog</v>
      </c>
      <c r="F1" s="14" t="str">
        <v>aiFin</v>
      </c>
      <c r="G1" s="14" t="str">
        <v>diffQual</v>
      </c>
      <c r="H1" s="14" t="str">
        <v>diffSal</v>
      </c>
      <c r="I1" s="14" t="str">
        <v>ictEmp</v>
      </c>
      <c r="J1" s="14" t="str">
        <v>conEnergy</v>
      </c>
      <c r="K1" s="14" t="str">
        <v>conICT</v>
      </c>
      <c r="L1" s="14" t="str">
        <v>conEdu</v>
      </c>
      <c r="M1" s="14" t="str">
        <v>unemp</v>
      </c>
      <c r="N1" s="14" t="str">
        <v>intUse</v>
      </c>
      <c r="O1" s="14" t="s">
        <v>56</v>
      </c>
      <c r="P1" s="14" t="s">
        <v>57</v>
      </c>
      <c r="Q1" s="14" t="s">
        <v>58</v>
      </c>
      <c r="R1" s="14" t="s">
        <v>59</v>
      </c>
    </row>
    <row r="2" spans="1:18">
      <c r="A2" s="13">
        <v>1</v>
      </c>
      <c r="B2" s="13" t="s">
        <v>14</v>
      </c>
      <c r="C2" s="13">
        <v>9.64</v>
      </c>
      <c r="D2" s="13">
        <v>5.15</v>
      </c>
      <c r="E2" s="13">
        <v>0.72</v>
      </c>
      <c r="F2" s="13">
        <v>5.62</v>
      </c>
      <c r="G2" s="13">
        <v>4.5199999999999996</v>
      </c>
      <c r="H2" s="13">
        <v>3.93</v>
      </c>
      <c r="I2" s="13">
        <v>20.45</v>
      </c>
      <c r="J2" s="13">
        <v>2.1</v>
      </c>
      <c r="K2" s="13">
        <v>1.7</v>
      </c>
      <c r="L2" s="13">
        <v>0.5</v>
      </c>
      <c r="M2" s="13">
        <v>3.6</v>
      </c>
      <c r="N2" s="13">
        <v>77.959999999999994</v>
      </c>
      <c r="O2" s="13">
        <v>0.92695000000000005</v>
      </c>
      <c r="P2" s="13">
        <v>-0.26146000000000003</v>
      </c>
      <c r="Q2" s="13">
        <v>-1.282E-2</v>
      </c>
      <c r="R2" s="13">
        <v>-0.17352999999999999</v>
      </c>
    </row>
    <row r="3" spans="1:18">
      <c r="A3" s="13">
        <v>2</v>
      </c>
      <c r="B3" s="13" t="s">
        <v>15</v>
      </c>
      <c r="C3" s="13">
        <v>5.97</v>
      </c>
      <c r="D3" s="13">
        <v>5.31</v>
      </c>
      <c r="E3" s="13">
        <v>2.64</v>
      </c>
      <c r="F3" s="13">
        <v>7.8</v>
      </c>
      <c r="G3" s="13">
        <v>6.9</v>
      </c>
      <c r="H3" s="13">
        <v>5.77</v>
      </c>
      <c r="I3" s="13">
        <v>29.67</v>
      </c>
      <c r="J3" s="13">
        <v>2.2000000000000002</v>
      </c>
      <c r="K3" s="13">
        <v>1.6</v>
      </c>
      <c r="L3" s="13">
        <v>0.2</v>
      </c>
      <c r="M3" s="13">
        <v>3.5</v>
      </c>
      <c r="N3" s="13">
        <v>81.37</v>
      </c>
      <c r="O3" s="13">
        <v>1.5893200000000001</v>
      </c>
      <c r="P3" s="13">
        <v>0.23557</v>
      </c>
      <c r="Q3" s="13">
        <v>0.95733000000000001</v>
      </c>
      <c r="R3" s="13">
        <v>-4.4510000000000001E-2</v>
      </c>
    </row>
    <row r="4" spans="1:18">
      <c r="A4" s="13">
        <v>3</v>
      </c>
      <c r="B4" s="13" t="s">
        <v>16</v>
      </c>
      <c r="C4" s="13">
        <v>2.11</v>
      </c>
      <c r="D4" s="13">
        <v>1.27</v>
      </c>
      <c r="E4" s="13">
        <v>0.51</v>
      </c>
      <c r="F4" s="13">
        <v>1.1299999999999999</v>
      </c>
      <c r="G4" s="13">
        <v>3.1</v>
      </c>
      <c r="H4" s="13">
        <v>3.11</v>
      </c>
      <c r="I4" s="13">
        <v>18.78</v>
      </c>
      <c r="J4" s="13">
        <v>2.8</v>
      </c>
      <c r="K4" s="13">
        <v>2.8</v>
      </c>
      <c r="L4" s="13">
        <v>0.8</v>
      </c>
      <c r="M4" s="13">
        <v>2.6</v>
      </c>
      <c r="N4" s="13">
        <v>61.85</v>
      </c>
      <c r="O4" s="13">
        <v>-0.89383000000000001</v>
      </c>
      <c r="P4" s="13">
        <v>-0.81781000000000004</v>
      </c>
      <c r="Q4" s="13">
        <v>0.48042000000000001</v>
      </c>
      <c r="R4" s="13">
        <v>0.76324999999999998</v>
      </c>
    </row>
    <row r="5" spans="1:18">
      <c r="A5" s="13">
        <v>4</v>
      </c>
      <c r="B5" s="13" t="s">
        <v>17</v>
      </c>
      <c r="C5" s="13">
        <v>3.1</v>
      </c>
      <c r="D5" s="13">
        <v>1.1599999999999999</v>
      </c>
      <c r="E5" s="13">
        <v>0.38</v>
      </c>
      <c r="F5" s="13">
        <v>1.03</v>
      </c>
      <c r="G5" s="13">
        <v>2.6</v>
      </c>
      <c r="H5" s="13">
        <v>2.31</v>
      </c>
      <c r="I5" s="13">
        <v>16.190000000000001</v>
      </c>
      <c r="J5" s="13">
        <v>3.3</v>
      </c>
      <c r="K5" s="13">
        <v>3.4</v>
      </c>
      <c r="L5" s="13">
        <v>0.5</v>
      </c>
      <c r="M5" s="13">
        <v>3</v>
      </c>
      <c r="N5" s="13">
        <v>73.52</v>
      </c>
      <c r="O5" s="13">
        <v>-0.53486999999999996</v>
      </c>
      <c r="P5" s="13">
        <v>-0.43408000000000002</v>
      </c>
      <c r="Q5" s="13">
        <v>-9.9940000000000001E-2</v>
      </c>
      <c r="R5" s="13">
        <v>1.5932900000000001</v>
      </c>
    </row>
    <row r="6" spans="1:18">
      <c r="A6" s="13">
        <v>5</v>
      </c>
      <c r="B6" s="13" t="s">
        <v>18</v>
      </c>
      <c r="C6" s="13">
        <v>3.56</v>
      </c>
      <c r="D6" s="13">
        <v>0.54</v>
      </c>
      <c r="E6" s="13">
        <v>0.27</v>
      </c>
      <c r="F6" s="13">
        <v>1.55</v>
      </c>
      <c r="G6" s="13">
        <v>4.68</v>
      </c>
      <c r="H6" s="13">
        <v>4.72</v>
      </c>
      <c r="I6" s="13">
        <v>29.12</v>
      </c>
      <c r="J6" s="13">
        <v>1.9</v>
      </c>
      <c r="K6" s="13">
        <v>1.8</v>
      </c>
      <c r="L6" s="13">
        <v>1.9</v>
      </c>
      <c r="M6" s="13">
        <v>3.5</v>
      </c>
      <c r="N6" s="13">
        <v>89.22</v>
      </c>
      <c r="O6" s="13">
        <v>-2.13442</v>
      </c>
      <c r="P6" s="13">
        <v>2.1960299999999999</v>
      </c>
      <c r="Q6" s="13">
        <v>0.23746</v>
      </c>
      <c r="R6" s="13">
        <v>-0.14441999999999999</v>
      </c>
    </row>
    <row r="7" spans="1:18">
      <c r="A7" s="13">
        <v>6</v>
      </c>
      <c r="B7" s="13" t="s">
        <v>19</v>
      </c>
      <c r="C7" s="13">
        <v>5.95</v>
      </c>
      <c r="D7" s="13">
        <v>1.81</v>
      </c>
      <c r="E7" s="13">
        <v>0.81</v>
      </c>
      <c r="F7" s="13">
        <v>2.41</v>
      </c>
      <c r="G7" s="13">
        <v>4.72</v>
      </c>
      <c r="H7" s="13">
        <v>4.3600000000000003</v>
      </c>
      <c r="I7" s="13">
        <v>20.75</v>
      </c>
      <c r="J7" s="13">
        <v>3.1</v>
      </c>
      <c r="K7" s="13">
        <v>1.9</v>
      </c>
      <c r="L7" s="13">
        <v>0.2</v>
      </c>
      <c r="M7" s="13">
        <v>1.8</v>
      </c>
      <c r="N7" s="13">
        <v>86.19</v>
      </c>
      <c r="O7" s="13">
        <v>0.18049999999999999</v>
      </c>
      <c r="P7" s="13">
        <v>-0.41975000000000001</v>
      </c>
      <c r="Q7" s="13">
        <v>0.73763999999999996</v>
      </c>
      <c r="R7" s="13">
        <v>0.39950999999999998</v>
      </c>
    </row>
    <row r="8" spans="1:18">
      <c r="A8" s="13">
        <v>7</v>
      </c>
      <c r="B8" s="13" t="s">
        <v>20</v>
      </c>
      <c r="C8" s="13">
        <v>9.48</v>
      </c>
      <c r="D8" s="13">
        <v>4.4000000000000004</v>
      </c>
      <c r="E8" s="13">
        <v>2.2799999999999998</v>
      </c>
      <c r="F8" s="13">
        <v>8.3699999999999992</v>
      </c>
      <c r="G8" s="13">
        <v>6.8</v>
      </c>
      <c r="H8" s="13">
        <v>4.67</v>
      </c>
      <c r="I8" s="13">
        <v>31.65</v>
      </c>
      <c r="J8" s="13">
        <v>2</v>
      </c>
      <c r="K8" s="13">
        <v>2.2999999999999998</v>
      </c>
      <c r="L8" s="13">
        <v>0.4</v>
      </c>
      <c r="M8" s="13">
        <v>4.5999999999999996</v>
      </c>
      <c r="N8" s="13">
        <v>94.13</v>
      </c>
      <c r="O8" s="13">
        <v>1.48062</v>
      </c>
      <c r="P8" s="13">
        <v>1.8544</v>
      </c>
      <c r="Q8" s="13">
        <v>9.7960000000000005E-2</v>
      </c>
      <c r="R8" s="13">
        <v>0.84189999999999998</v>
      </c>
    </row>
    <row r="9" spans="1:18">
      <c r="A9" s="13">
        <v>8</v>
      </c>
      <c r="B9" s="13" t="s">
        <v>21</v>
      </c>
      <c r="C9" s="13">
        <v>6.97</v>
      </c>
      <c r="D9" s="13">
        <v>3.47</v>
      </c>
      <c r="E9" s="13">
        <v>1</v>
      </c>
      <c r="F9" s="13">
        <v>2.95</v>
      </c>
      <c r="G9" s="13">
        <v>3.09</v>
      </c>
      <c r="H9" s="13">
        <v>2.5</v>
      </c>
      <c r="I9" s="13">
        <v>19.97</v>
      </c>
      <c r="J9" s="13">
        <v>4.3</v>
      </c>
      <c r="K9" s="13">
        <v>1.9</v>
      </c>
      <c r="L9" s="13">
        <v>0.3</v>
      </c>
      <c r="M9" s="13">
        <v>5.6</v>
      </c>
      <c r="N9" s="13">
        <v>81.239999999999995</v>
      </c>
      <c r="O9" s="13">
        <v>0.70077</v>
      </c>
      <c r="P9" s="13">
        <v>-0.21967999999999999</v>
      </c>
      <c r="Q9" s="13">
        <v>-1.0223199999999999</v>
      </c>
      <c r="R9" s="13">
        <v>0.64281999999999995</v>
      </c>
    </row>
    <row r="10" spans="1:18">
      <c r="A10" s="13">
        <v>9</v>
      </c>
      <c r="B10" s="13" t="s">
        <v>22</v>
      </c>
      <c r="C10" s="13">
        <v>9.25</v>
      </c>
      <c r="D10" s="13">
        <v>5.9</v>
      </c>
      <c r="E10" s="13">
        <v>1.83</v>
      </c>
      <c r="F10" s="13">
        <v>6.62</v>
      </c>
      <c r="G10" s="13">
        <v>3.52</v>
      </c>
      <c r="H10" s="13">
        <v>3.4</v>
      </c>
      <c r="I10" s="13">
        <v>30.63</v>
      </c>
      <c r="J10" s="13">
        <v>2.5</v>
      </c>
      <c r="K10" s="13">
        <v>1.7</v>
      </c>
      <c r="L10" s="13">
        <v>0.1</v>
      </c>
      <c r="M10" s="13">
        <v>5.8</v>
      </c>
      <c r="N10" s="13">
        <v>88.54</v>
      </c>
      <c r="O10" s="13">
        <v>1.69573</v>
      </c>
      <c r="P10" s="13">
        <v>0.81818999999999997</v>
      </c>
      <c r="Q10" s="13">
        <v>-1.05888</v>
      </c>
      <c r="R10" s="13">
        <v>9.393E-2</v>
      </c>
    </row>
    <row r="11" spans="1:18">
      <c r="A11" s="13">
        <v>10</v>
      </c>
      <c r="B11" s="13" t="s">
        <v>23</v>
      </c>
      <c r="C11" s="13">
        <v>2.93</v>
      </c>
      <c r="D11" s="13">
        <v>1.88</v>
      </c>
      <c r="E11" s="13">
        <v>0.59</v>
      </c>
      <c r="F11" s="13">
        <v>1.1200000000000001</v>
      </c>
      <c r="G11" s="13">
        <v>4.21</v>
      </c>
      <c r="H11" s="13">
        <v>3.99</v>
      </c>
      <c r="I11" s="13">
        <v>16.649999999999999</v>
      </c>
      <c r="J11" s="13">
        <v>2.2999999999999998</v>
      </c>
      <c r="K11" s="13">
        <v>1.9</v>
      </c>
      <c r="L11" s="13">
        <v>0.4</v>
      </c>
      <c r="M11" s="13">
        <v>4.8</v>
      </c>
      <c r="N11" s="13">
        <v>75.98</v>
      </c>
      <c r="O11" s="13">
        <v>-0.51846999999999999</v>
      </c>
      <c r="P11" s="13">
        <v>-0.81916999999999995</v>
      </c>
      <c r="Q11" s="13">
        <v>-0.35974</v>
      </c>
      <c r="R11" s="13">
        <v>-0.71204999999999996</v>
      </c>
    </row>
    <row r="12" spans="1:18">
      <c r="A12" s="13">
        <v>11</v>
      </c>
      <c r="B12" s="13" t="s">
        <v>24</v>
      </c>
      <c r="C12" s="13">
        <v>6.55</v>
      </c>
      <c r="D12" s="13">
        <v>4.8499999999999996</v>
      </c>
      <c r="E12" s="13">
        <v>0.83</v>
      </c>
      <c r="F12" s="13">
        <v>4.76</v>
      </c>
      <c r="G12" s="13">
        <v>6.92</v>
      </c>
      <c r="H12" s="13">
        <v>6.53</v>
      </c>
      <c r="I12" s="13">
        <v>23.63</v>
      </c>
      <c r="J12" s="13">
        <v>2.5</v>
      </c>
      <c r="K12" s="13">
        <v>1.6</v>
      </c>
      <c r="L12" s="13">
        <v>0.4</v>
      </c>
      <c r="M12" s="13">
        <v>2.4</v>
      </c>
      <c r="N12" s="13">
        <v>77.760000000000005</v>
      </c>
      <c r="O12" s="13">
        <v>0.58579999999999999</v>
      </c>
      <c r="P12" s="13">
        <v>-0.44379999999999997</v>
      </c>
      <c r="Q12" s="13">
        <v>1.4550099999999999</v>
      </c>
      <c r="R12" s="13">
        <v>-0.28294999999999998</v>
      </c>
    </row>
    <row r="13" spans="1:18">
      <c r="A13" s="13">
        <v>12</v>
      </c>
      <c r="B13" s="13" t="s">
        <v>25</v>
      </c>
      <c r="C13" s="13">
        <v>1.68</v>
      </c>
      <c r="D13" s="13">
        <v>0.89</v>
      </c>
      <c r="E13" s="13">
        <v>0.3</v>
      </c>
      <c r="F13" s="13">
        <v>1</v>
      </c>
      <c r="G13" s="13">
        <v>3.77</v>
      </c>
      <c r="H13" s="13">
        <v>3.8</v>
      </c>
      <c r="I13" s="13">
        <v>24.43</v>
      </c>
      <c r="J13" s="13">
        <v>2.9</v>
      </c>
      <c r="K13" s="13">
        <v>3</v>
      </c>
      <c r="L13" s="13">
        <v>1.4</v>
      </c>
      <c r="M13" s="13">
        <v>6.2</v>
      </c>
      <c r="N13" s="13">
        <v>79.41</v>
      </c>
      <c r="O13" s="13">
        <v>-1.7221299999999999</v>
      </c>
      <c r="P13" s="13">
        <v>1.5665100000000001</v>
      </c>
      <c r="Q13" s="13">
        <v>-0.72140000000000004</v>
      </c>
      <c r="R13" s="13">
        <v>0.80030999999999997</v>
      </c>
    </row>
    <row r="14" spans="1:18">
      <c r="A14" s="13">
        <v>13</v>
      </c>
      <c r="B14" s="13" t="s">
        <v>26</v>
      </c>
      <c r="C14" s="13">
        <v>2.3199999999999998</v>
      </c>
      <c r="D14" s="13">
        <v>1.4</v>
      </c>
      <c r="E14" s="13">
        <v>0.36</v>
      </c>
      <c r="F14" s="13">
        <v>1.0900000000000001</v>
      </c>
      <c r="G14" s="13">
        <v>2.58</v>
      </c>
      <c r="H14" s="13">
        <v>3.15</v>
      </c>
      <c r="I14" s="13">
        <v>29.66</v>
      </c>
      <c r="J14" s="13">
        <v>1.5</v>
      </c>
      <c r="K14" s="13">
        <v>1.9</v>
      </c>
      <c r="L14" s="13">
        <v>0.7</v>
      </c>
      <c r="M14" s="13">
        <v>3.1</v>
      </c>
      <c r="N14" s="13">
        <v>83.19</v>
      </c>
      <c r="O14" s="13">
        <v>-1.1405400000000001</v>
      </c>
      <c r="P14" s="13">
        <v>0.53312000000000004</v>
      </c>
      <c r="Q14" s="13">
        <v>-0.27450000000000002</v>
      </c>
      <c r="R14" s="13">
        <v>-0.49725000000000003</v>
      </c>
    </row>
    <row r="15" spans="1:18">
      <c r="A15" s="13">
        <v>14</v>
      </c>
      <c r="B15" s="13" t="s">
        <v>27</v>
      </c>
      <c r="C15" s="13">
        <v>5.63</v>
      </c>
      <c r="D15" s="13">
        <v>3.69</v>
      </c>
      <c r="E15" s="13">
        <v>1.53</v>
      </c>
      <c r="F15" s="13">
        <v>3.4</v>
      </c>
      <c r="G15" s="13">
        <v>4.21</v>
      </c>
      <c r="H15" s="13">
        <v>3.99</v>
      </c>
      <c r="I15" s="13">
        <v>30.59</v>
      </c>
      <c r="J15" s="13">
        <v>1.1000000000000001</v>
      </c>
      <c r="K15" s="13">
        <v>0.7</v>
      </c>
      <c r="L15" s="13">
        <v>0.3</v>
      </c>
      <c r="M15" s="13">
        <v>3.1</v>
      </c>
      <c r="N15" s="13">
        <v>93.17</v>
      </c>
      <c r="O15" s="13">
        <v>0.32278000000000001</v>
      </c>
      <c r="P15" s="13">
        <v>0.33794000000000002</v>
      </c>
      <c r="Q15" s="13">
        <v>-0.14513999999999999</v>
      </c>
      <c r="R15" s="13">
        <v>-1.52101</v>
      </c>
    </row>
    <row r="16" spans="1:18">
      <c r="A16" s="13">
        <v>15</v>
      </c>
      <c r="B16" s="13" t="s">
        <v>28</v>
      </c>
      <c r="C16" s="13">
        <v>2.93</v>
      </c>
      <c r="D16" s="13">
        <v>1.88</v>
      </c>
      <c r="E16" s="13">
        <v>0.56999999999999995</v>
      </c>
      <c r="F16" s="13">
        <v>1.1200000000000001</v>
      </c>
      <c r="G16" s="13">
        <v>4.21</v>
      </c>
      <c r="H16" s="13">
        <v>3.99</v>
      </c>
      <c r="I16" s="13">
        <v>13.21</v>
      </c>
      <c r="J16" s="13">
        <v>2.1</v>
      </c>
      <c r="K16" s="13">
        <v>1.5</v>
      </c>
      <c r="L16" s="13">
        <v>0.5</v>
      </c>
      <c r="M16" s="13">
        <v>3.8</v>
      </c>
      <c r="N16" s="13">
        <v>58.07</v>
      </c>
      <c r="O16" s="13">
        <v>-0.55691000000000002</v>
      </c>
      <c r="P16" s="13">
        <v>-2.1013899999999999</v>
      </c>
      <c r="Q16" s="13">
        <v>0.24227000000000001</v>
      </c>
      <c r="R16" s="13">
        <v>-1.2378199999999999</v>
      </c>
    </row>
    <row r="17" spans="1:18">
      <c r="A17" s="13">
        <v>16</v>
      </c>
      <c r="B17" s="13" t="s">
        <v>29</v>
      </c>
      <c r="C17" s="13">
        <v>3.39</v>
      </c>
      <c r="D17" s="13">
        <v>1.84</v>
      </c>
      <c r="E17" s="13">
        <v>0.88</v>
      </c>
      <c r="F17" s="13">
        <v>1.93</v>
      </c>
      <c r="G17" s="13">
        <v>1.96</v>
      </c>
      <c r="H17" s="13">
        <v>1.93</v>
      </c>
      <c r="I17" s="13">
        <v>18.2</v>
      </c>
      <c r="J17" s="13">
        <v>2.8</v>
      </c>
      <c r="K17" s="13">
        <v>2.4</v>
      </c>
      <c r="L17" s="13">
        <v>0.7</v>
      </c>
      <c r="M17" s="13">
        <v>4.8</v>
      </c>
      <c r="N17" s="13">
        <v>70.72</v>
      </c>
      <c r="O17" s="13">
        <v>-0.41371999999999998</v>
      </c>
      <c r="P17" s="13">
        <v>-0.41269</v>
      </c>
      <c r="Q17" s="13">
        <v>-0.92869000000000002</v>
      </c>
      <c r="R17" s="13">
        <v>0.35121000000000002</v>
      </c>
    </row>
    <row r="18" spans="1:18">
      <c r="A18" s="13">
        <v>17</v>
      </c>
      <c r="B18" s="13" t="s">
        <v>30</v>
      </c>
      <c r="C18" s="13">
        <v>2.85</v>
      </c>
      <c r="D18" s="13">
        <v>1.9</v>
      </c>
      <c r="E18" s="13">
        <v>0.95</v>
      </c>
      <c r="F18" s="13">
        <v>2.2799999999999998</v>
      </c>
      <c r="G18" s="13">
        <v>2.74</v>
      </c>
      <c r="H18" s="13">
        <v>2.62</v>
      </c>
      <c r="I18" s="13">
        <v>16.77</v>
      </c>
      <c r="J18" s="13">
        <v>1.9</v>
      </c>
      <c r="K18" s="13">
        <v>2.2000000000000002</v>
      </c>
      <c r="L18" s="13">
        <v>0.3</v>
      </c>
      <c r="M18" s="13">
        <v>5.0999999999999996</v>
      </c>
      <c r="N18" s="13">
        <v>79.73</v>
      </c>
      <c r="O18" s="13">
        <v>-0.19602</v>
      </c>
      <c r="P18" s="13">
        <v>-0.54283999999999999</v>
      </c>
      <c r="Q18" s="13">
        <v>-1.0775399999999999</v>
      </c>
      <c r="R18" s="13">
        <v>-0.41783999999999999</v>
      </c>
    </row>
    <row r="19" spans="1:18">
      <c r="A19" s="13">
        <v>18</v>
      </c>
      <c r="B19" s="13" t="s">
        <v>31</v>
      </c>
      <c r="C19" s="13">
        <v>4.2699999999999996</v>
      </c>
      <c r="D19" s="13">
        <v>4.1100000000000003</v>
      </c>
      <c r="E19" s="13">
        <v>1.08</v>
      </c>
      <c r="F19" s="13">
        <v>4.72</v>
      </c>
      <c r="G19" s="13">
        <v>6.15</v>
      </c>
      <c r="H19" s="13">
        <v>6.11</v>
      </c>
      <c r="I19" s="13">
        <v>24.25</v>
      </c>
      <c r="J19" s="13">
        <v>0.7</v>
      </c>
      <c r="K19" s="13">
        <v>0.6</v>
      </c>
      <c r="L19" s="13">
        <v>0.3</v>
      </c>
      <c r="M19" s="13">
        <v>4.3</v>
      </c>
      <c r="N19" s="13">
        <v>72.510000000000005</v>
      </c>
      <c r="O19" s="13">
        <v>0.20457</v>
      </c>
      <c r="P19" s="13">
        <v>-1.0101599999999999</v>
      </c>
      <c r="Q19" s="13">
        <v>0.45062999999999998</v>
      </c>
      <c r="R19" s="13">
        <v>-2.4596100000000001</v>
      </c>
    </row>
    <row r="20" spans="1:18">
      <c r="A20" s="13">
        <v>19</v>
      </c>
      <c r="B20" s="13" t="s">
        <v>32</v>
      </c>
      <c r="C20" s="13">
        <v>6.51</v>
      </c>
      <c r="D20" s="13">
        <v>3.93</v>
      </c>
      <c r="E20" s="13">
        <v>1.58</v>
      </c>
      <c r="F20" s="13">
        <v>1.24</v>
      </c>
      <c r="G20" s="13">
        <v>10.07</v>
      </c>
      <c r="H20" s="13">
        <v>10.56</v>
      </c>
      <c r="I20" s="13">
        <v>35.18</v>
      </c>
      <c r="J20" s="13">
        <v>0.8</v>
      </c>
      <c r="K20" s="13">
        <v>1.7</v>
      </c>
      <c r="L20" s="13">
        <v>0.9</v>
      </c>
      <c r="M20" s="13">
        <v>2.2999999999999998</v>
      </c>
      <c r="N20" s="13">
        <v>80.67</v>
      </c>
      <c r="O20" s="13">
        <v>-0.61841000000000002</v>
      </c>
      <c r="P20" s="13">
        <v>1.18194</v>
      </c>
      <c r="Q20" s="13">
        <v>2.8836400000000002</v>
      </c>
      <c r="R20" s="13">
        <v>-1.0080100000000001</v>
      </c>
    </row>
    <row r="21" spans="1:18">
      <c r="A21" s="13">
        <v>20</v>
      </c>
      <c r="B21" s="13" t="s">
        <v>33</v>
      </c>
      <c r="C21" s="13">
        <v>8.86</v>
      </c>
      <c r="D21" s="13">
        <v>4.68</v>
      </c>
      <c r="E21" s="13">
        <v>1.55</v>
      </c>
      <c r="F21" s="13">
        <v>5.5</v>
      </c>
      <c r="G21" s="13">
        <v>7.77</v>
      </c>
      <c r="H21" s="13">
        <v>5.95</v>
      </c>
      <c r="I21" s="13">
        <v>30.69</v>
      </c>
      <c r="J21" s="13">
        <v>1.7</v>
      </c>
      <c r="K21" s="13">
        <v>1.7</v>
      </c>
      <c r="L21" s="13">
        <v>0.4</v>
      </c>
      <c r="M21" s="13">
        <v>2.8</v>
      </c>
      <c r="N21" s="13">
        <v>96.28</v>
      </c>
      <c r="O21" s="13">
        <v>0.87727999999999995</v>
      </c>
      <c r="P21" s="13">
        <v>1.2563200000000001</v>
      </c>
      <c r="Q21" s="13">
        <v>1.00865</v>
      </c>
      <c r="R21" s="13">
        <v>-5.5140000000000002E-2</v>
      </c>
    </row>
    <row r="22" spans="1:18">
      <c r="A22" s="13">
        <v>21</v>
      </c>
      <c r="B22" s="13" t="s">
        <v>34</v>
      </c>
      <c r="C22" s="13">
        <v>2.4</v>
      </c>
      <c r="D22" s="13">
        <v>1.84</v>
      </c>
      <c r="E22" s="13">
        <v>0.6</v>
      </c>
      <c r="F22" s="13">
        <v>1.86</v>
      </c>
      <c r="G22" s="13">
        <v>0.91</v>
      </c>
      <c r="H22" s="13">
        <v>1.49</v>
      </c>
      <c r="I22" s="13">
        <v>25.99</v>
      </c>
      <c r="J22" s="13">
        <v>4.3</v>
      </c>
      <c r="K22" s="13">
        <v>2.4</v>
      </c>
      <c r="L22" s="13">
        <v>0.4</v>
      </c>
      <c r="M22" s="13">
        <v>1.8</v>
      </c>
      <c r="N22" s="13">
        <v>69.260000000000005</v>
      </c>
      <c r="O22" s="13">
        <v>-0.17513000000000001</v>
      </c>
      <c r="P22" s="13">
        <v>-0.72165000000000001</v>
      </c>
      <c r="Q22" s="13">
        <v>8.7279999999999996E-2</v>
      </c>
      <c r="R22" s="13">
        <v>1.44323</v>
      </c>
    </row>
    <row r="23" spans="1:18">
      <c r="A23" s="13">
        <v>22</v>
      </c>
      <c r="B23" s="13" t="s">
        <v>35</v>
      </c>
      <c r="C23" s="13">
        <v>2.86</v>
      </c>
      <c r="D23" s="13">
        <v>2.4300000000000002</v>
      </c>
      <c r="E23" s="13">
        <v>0.79</v>
      </c>
      <c r="F23" s="13">
        <v>2.13</v>
      </c>
      <c r="G23" s="13">
        <v>2.2599999999999998</v>
      </c>
      <c r="H23" s="13">
        <v>3.07</v>
      </c>
      <c r="I23" s="13">
        <v>21.6</v>
      </c>
      <c r="J23" s="13">
        <v>1.7</v>
      </c>
      <c r="K23" s="13">
        <v>1.7</v>
      </c>
      <c r="L23" s="13">
        <v>0.9</v>
      </c>
      <c r="M23" s="13">
        <v>4.4000000000000004</v>
      </c>
      <c r="N23" s="13">
        <v>77.8</v>
      </c>
      <c r="O23" s="13">
        <v>-0.74687000000000003</v>
      </c>
      <c r="P23" s="13">
        <v>-9.7000000000000003E-3</v>
      </c>
      <c r="Q23" s="13">
        <v>-0.75368000000000002</v>
      </c>
      <c r="R23" s="13">
        <v>-0.75873999999999997</v>
      </c>
    </row>
    <row r="24" spans="1:18">
      <c r="A24" s="13">
        <v>23</v>
      </c>
      <c r="B24" s="13" t="s">
        <v>36</v>
      </c>
      <c r="C24" s="13">
        <v>1.1299999999999999</v>
      </c>
      <c r="D24" s="13">
        <v>1.04</v>
      </c>
      <c r="E24" s="13">
        <v>0.34</v>
      </c>
      <c r="F24" s="13">
        <v>0.64</v>
      </c>
      <c r="G24" s="13">
        <v>4.21</v>
      </c>
      <c r="H24" s="13">
        <v>3.99</v>
      </c>
      <c r="I24" s="13">
        <v>15.57</v>
      </c>
      <c r="J24" s="13">
        <v>5.8</v>
      </c>
      <c r="K24" s="13">
        <v>2.9</v>
      </c>
      <c r="L24" s="13">
        <v>0.7</v>
      </c>
      <c r="M24" s="13">
        <v>3.1</v>
      </c>
      <c r="N24" s="13">
        <v>56.28</v>
      </c>
      <c r="O24" s="13">
        <v>-0.67869999999999997</v>
      </c>
      <c r="P24" s="13">
        <v>-1.41848</v>
      </c>
      <c r="Q24" s="13">
        <v>1.0553900000000001</v>
      </c>
      <c r="R24" s="13">
        <v>1.91361</v>
      </c>
    </row>
    <row r="25" spans="1:18">
      <c r="A25" s="13">
        <v>24</v>
      </c>
      <c r="B25" s="13" t="s">
        <v>37</v>
      </c>
      <c r="C25" s="13">
        <v>3.46</v>
      </c>
      <c r="D25" s="13">
        <v>1.86</v>
      </c>
      <c r="E25" s="13">
        <v>0.64</v>
      </c>
      <c r="F25" s="13">
        <v>2.36</v>
      </c>
      <c r="G25" s="13">
        <v>2.75</v>
      </c>
      <c r="H25" s="13">
        <v>2.4</v>
      </c>
      <c r="I25" s="13">
        <v>17.93</v>
      </c>
      <c r="J25" s="13">
        <v>4.0999999999999996</v>
      </c>
      <c r="K25" s="13">
        <v>2.2999999999999998</v>
      </c>
      <c r="L25" s="13">
        <v>0.8</v>
      </c>
      <c r="M25" s="13">
        <v>3.6</v>
      </c>
      <c r="N25" s="13">
        <v>70.069999999999993</v>
      </c>
      <c r="O25" s="13">
        <v>-0.34755999999999998</v>
      </c>
      <c r="P25" s="13">
        <v>-0.55728</v>
      </c>
      <c r="Q25" s="13">
        <v>-0.16092999999999999</v>
      </c>
      <c r="R25" s="13">
        <v>0.99555000000000005</v>
      </c>
    </row>
    <row r="26" spans="1:18">
      <c r="A26" s="13">
        <v>25</v>
      </c>
      <c r="B26" s="13" t="s">
        <v>38</v>
      </c>
      <c r="C26" s="13">
        <v>6.84</v>
      </c>
      <c r="D26" s="13">
        <v>5.67</v>
      </c>
      <c r="E26" s="13">
        <v>2.59</v>
      </c>
      <c r="F26" s="13">
        <v>5.33</v>
      </c>
      <c r="G26" s="13">
        <v>2.75</v>
      </c>
      <c r="H26" s="13">
        <v>4.01</v>
      </c>
      <c r="I26" s="13">
        <v>17.84</v>
      </c>
      <c r="J26" s="13">
        <v>2.6</v>
      </c>
      <c r="K26" s="13">
        <v>2</v>
      </c>
      <c r="L26" s="13">
        <v>0.6</v>
      </c>
      <c r="M26" s="13">
        <v>2.4</v>
      </c>
      <c r="N26" s="13">
        <v>78.900000000000006</v>
      </c>
      <c r="O26" s="13">
        <v>1.3995599999999999</v>
      </c>
      <c r="P26" s="13">
        <v>-0.43289</v>
      </c>
      <c r="Q26" s="13">
        <v>0.30077999999999999</v>
      </c>
      <c r="R26" s="13">
        <v>0.62175999999999998</v>
      </c>
    </row>
    <row r="27" spans="1:18">
      <c r="A27" s="13">
        <v>26</v>
      </c>
      <c r="B27" s="13" t="s">
        <v>39</v>
      </c>
      <c r="C27" s="13">
        <v>3.25</v>
      </c>
      <c r="D27" s="13">
        <v>3.03</v>
      </c>
      <c r="E27" s="13">
        <v>0.96</v>
      </c>
      <c r="F27" s="13">
        <v>2.16</v>
      </c>
      <c r="G27" s="13">
        <v>2.42</v>
      </c>
      <c r="H27" s="13">
        <v>2.8</v>
      </c>
      <c r="I27" s="13">
        <v>20.329999999999998</v>
      </c>
      <c r="J27" s="13">
        <v>1.7</v>
      </c>
      <c r="K27" s="13">
        <v>1.8</v>
      </c>
      <c r="L27" s="13">
        <v>0.7</v>
      </c>
      <c r="M27" s="13">
        <v>7.4</v>
      </c>
      <c r="N27" s="13">
        <v>79.989999999999995</v>
      </c>
      <c r="O27" s="13">
        <v>-0.45027</v>
      </c>
      <c r="P27" s="13">
        <v>0.20055999999999999</v>
      </c>
      <c r="Q27" s="13">
        <v>-1.87703</v>
      </c>
      <c r="R27" s="13">
        <v>-1.0695699999999999</v>
      </c>
    </row>
    <row r="28" spans="1:18">
      <c r="A28" s="13">
        <v>27</v>
      </c>
      <c r="B28" s="13" t="s">
        <v>40</v>
      </c>
      <c r="C28" s="13">
        <v>10.02</v>
      </c>
      <c r="D28" s="13">
        <v>4.71</v>
      </c>
      <c r="E28" s="13">
        <v>1.17</v>
      </c>
      <c r="F28" s="13">
        <v>4.0599999999999996</v>
      </c>
      <c r="G28" s="13">
        <v>3.92</v>
      </c>
      <c r="H28" s="13">
        <v>2.4900000000000002</v>
      </c>
      <c r="I28" s="13">
        <v>22.19</v>
      </c>
      <c r="J28" s="13">
        <v>2.2000000000000002</v>
      </c>
      <c r="K28" s="13">
        <v>2</v>
      </c>
      <c r="L28" s="13">
        <v>0.1</v>
      </c>
      <c r="M28" s="13">
        <v>6.3</v>
      </c>
      <c r="N28" s="13">
        <v>89.35</v>
      </c>
      <c r="O28" s="13">
        <v>1.16398</v>
      </c>
      <c r="P28" s="13">
        <v>0.44224999999999998</v>
      </c>
      <c r="Q28" s="13">
        <v>-1.50186</v>
      </c>
      <c r="R28" s="13">
        <v>-7.7920000000000003E-2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77EE8-9F56-554D-A6B5-E61BD38D429A}">
  <dimension ref="A1:M14"/>
  <sheetViews>
    <sheetView zoomScale="141" zoomScaleNormal="230" workbookViewId="0">
      <selection activeCell="G75" sqref="G75"/>
    </sheetView>
  </sheetViews>
  <sheetFormatPr defaultColWidth="11" defaultRowHeight="15.95"/>
  <cols>
    <col min="1" max="1" width="3.125" bestFit="1" customWidth="1"/>
    <col min="2" max="3" width="9.625" bestFit="1" customWidth="1"/>
    <col min="4" max="4" width="17.125" customWidth="1"/>
    <col min="5" max="5" width="14.5" customWidth="1"/>
    <col min="6" max="6" width="14" customWidth="1"/>
  </cols>
  <sheetData>
    <row r="1" spans="1:13">
      <c r="A1" s="13"/>
      <c r="B1" s="21" t="s">
        <v>60</v>
      </c>
      <c r="C1" s="21"/>
      <c r="D1" s="21"/>
      <c r="E1" s="21"/>
      <c r="F1" s="21"/>
      <c r="H1" s="15"/>
    </row>
    <row r="2" spans="1:13" s="1" customFormat="1" ht="36.950000000000003" customHeight="1">
      <c r="A2" s="14" t="s">
        <v>0</v>
      </c>
      <c r="B2" s="14" t="s">
        <v>61</v>
      </c>
      <c r="C2" s="14" t="s">
        <v>56</v>
      </c>
      <c r="D2" s="14" t="s">
        <v>57</v>
      </c>
      <c r="E2" s="14" t="s">
        <v>58</v>
      </c>
      <c r="F2" s="14" t="s">
        <v>59</v>
      </c>
      <c r="H2" s="15"/>
      <c r="I2" s="15"/>
      <c r="J2" s="15"/>
      <c r="K2" s="15"/>
      <c r="L2" s="15"/>
      <c r="M2"/>
    </row>
    <row r="3" spans="1:13">
      <c r="A3" s="13">
        <v>1</v>
      </c>
      <c r="B3" s="13" t="s">
        <v>3</v>
      </c>
      <c r="C3" s="16">
        <v>0.88683000000000001</v>
      </c>
      <c r="D3" s="13">
        <v>0.17806</v>
      </c>
      <c r="E3" s="13">
        <v>0.11788999999999999</v>
      </c>
      <c r="F3" s="13">
        <v>-0.27054</v>
      </c>
      <c r="H3" s="15"/>
      <c r="I3" s="17"/>
      <c r="J3" s="17"/>
      <c r="K3" s="17"/>
      <c r="L3" s="17"/>
      <c r="M3" s="17"/>
    </row>
    <row r="4" spans="1:13">
      <c r="A4" s="13">
        <v>2</v>
      </c>
      <c r="B4" s="13" t="s">
        <v>5</v>
      </c>
      <c r="C4" s="16">
        <v>0.87170999999999998</v>
      </c>
      <c r="D4" s="13">
        <v>0.30271999999999999</v>
      </c>
      <c r="E4" s="13">
        <v>5.8130000000000001E-2</v>
      </c>
      <c r="F4" s="13">
        <v>-8.7639999999999996E-2</v>
      </c>
      <c r="H4" s="15"/>
      <c r="I4" s="17"/>
      <c r="J4" s="17"/>
      <c r="K4" s="17"/>
      <c r="L4" s="17"/>
      <c r="M4" s="17"/>
    </row>
    <row r="5" spans="1:13">
      <c r="A5" s="13">
        <v>3</v>
      </c>
      <c r="B5" s="13" t="s">
        <v>2</v>
      </c>
      <c r="C5" s="16">
        <v>0.81384000000000001</v>
      </c>
      <c r="D5" s="13">
        <v>0.38638</v>
      </c>
      <c r="E5" s="13">
        <v>7.1360000000000007E-2</v>
      </c>
      <c r="F5" s="13">
        <v>-9.5570000000000002E-2</v>
      </c>
      <c r="H5" s="15"/>
      <c r="I5" s="17"/>
      <c r="J5" s="17"/>
      <c r="K5" s="17"/>
      <c r="L5" s="17"/>
      <c r="M5" s="17"/>
    </row>
    <row r="6" spans="1:13">
      <c r="A6" s="13">
        <v>4</v>
      </c>
      <c r="B6" s="13" t="s">
        <v>4</v>
      </c>
      <c r="C6" s="16">
        <v>0.78961999999999999</v>
      </c>
      <c r="D6" s="13">
        <v>0.27915000000000001</v>
      </c>
      <c r="E6" s="13">
        <v>0.16794999999999999</v>
      </c>
      <c r="F6" s="13">
        <v>-0.12726999999999999</v>
      </c>
      <c r="H6" s="15"/>
      <c r="I6" s="17"/>
      <c r="J6" s="17"/>
      <c r="K6" s="17"/>
      <c r="L6" s="17"/>
      <c r="M6" s="17"/>
    </row>
    <row r="7" spans="1:13">
      <c r="A7" s="13">
        <v>5</v>
      </c>
      <c r="B7" s="13" t="s">
        <v>11</v>
      </c>
      <c r="C7" s="16">
        <v>-0.77891999999999995</v>
      </c>
      <c r="D7" s="13">
        <v>0.39176</v>
      </c>
      <c r="E7" s="13">
        <v>8.8260000000000005E-2</v>
      </c>
      <c r="F7" s="13">
        <v>0.10329000000000001</v>
      </c>
      <c r="H7" s="15"/>
      <c r="I7" s="17"/>
      <c r="J7" s="17"/>
      <c r="K7" s="17"/>
      <c r="L7" s="17"/>
      <c r="M7" s="17"/>
    </row>
    <row r="8" spans="1:13">
      <c r="A8" s="13">
        <v>6</v>
      </c>
      <c r="B8" s="13" t="s">
        <v>13</v>
      </c>
      <c r="C8" s="13">
        <v>0.38181999999999999</v>
      </c>
      <c r="D8" s="18">
        <v>0.79059000000000001</v>
      </c>
      <c r="E8" s="13">
        <v>-0.11942999999999999</v>
      </c>
      <c r="F8" s="13">
        <v>-0.21748999999999999</v>
      </c>
      <c r="H8" s="15"/>
      <c r="I8" s="17"/>
      <c r="J8" s="17"/>
      <c r="K8" s="17"/>
      <c r="L8" s="17"/>
      <c r="M8" s="17"/>
    </row>
    <row r="9" spans="1:13">
      <c r="A9" s="13">
        <v>7</v>
      </c>
      <c r="B9" s="13" t="s">
        <v>8</v>
      </c>
      <c r="C9" s="13">
        <v>0.19439000000000001</v>
      </c>
      <c r="D9" s="18">
        <v>0.77207999999999999</v>
      </c>
      <c r="E9" s="13">
        <v>0.32779000000000003</v>
      </c>
      <c r="F9" s="13">
        <v>-0.23021</v>
      </c>
      <c r="H9" s="15"/>
      <c r="I9" s="17"/>
      <c r="J9" s="17"/>
      <c r="K9" s="17"/>
      <c r="L9" s="17"/>
      <c r="M9" s="17"/>
    </row>
    <row r="10" spans="1:13">
      <c r="A10" s="13">
        <v>8</v>
      </c>
      <c r="B10" s="13" t="s">
        <v>7</v>
      </c>
      <c r="C10" s="13">
        <v>9.1990000000000002E-2</v>
      </c>
      <c r="D10" s="13">
        <v>0.29275000000000001</v>
      </c>
      <c r="E10" s="19">
        <v>0.80564000000000002</v>
      </c>
      <c r="F10" s="13">
        <v>-0.40528999999999998</v>
      </c>
      <c r="H10" s="15"/>
      <c r="I10" s="17"/>
      <c r="J10" s="17"/>
      <c r="K10" s="17"/>
      <c r="L10" s="17"/>
      <c r="M10" s="17"/>
    </row>
    <row r="11" spans="1:13">
      <c r="A11" s="13">
        <v>9</v>
      </c>
      <c r="B11" s="13" t="s">
        <v>6</v>
      </c>
      <c r="C11" s="13">
        <v>0.25496000000000002</v>
      </c>
      <c r="D11" s="13">
        <v>0.35842000000000002</v>
      </c>
      <c r="E11" s="19">
        <v>0.73382999999999998</v>
      </c>
      <c r="F11" s="13">
        <v>-0.31947999999999999</v>
      </c>
      <c r="H11" s="15"/>
      <c r="I11" s="17"/>
      <c r="J11" s="17"/>
      <c r="K11" s="17"/>
      <c r="L11" s="17"/>
      <c r="M11" s="17"/>
    </row>
    <row r="12" spans="1:13">
      <c r="A12" s="13">
        <v>10</v>
      </c>
      <c r="B12" s="13" t="s">
        <v>12</v>
      </c>
      <c r="C12" s="13">
        <v>3.456E-2</v>
      </c>
      <c r="D12" s="13">
        <v>0.19670000000000001</v>
      </c>
      <c r="E12" s="19">
        <v>-0.78113999999999995</v>
      </c>
      <c r="F12" s="13">
        <v>-0.19728999999999999</v>
      </c>
      <c r="H12" s="15"/>
      <c r="I12" s="17"/>
      <c r="J12" s="17"/>
      <c r="K12" s="17"/>
      <c r="L12" s="17"/>
      <c r="M12" s="17"/>
    </row>
    <row r="13" spans="1:13">
      <c r="A13" s="13">
        <v>11</v>
      </c>
      <c r="B13" s="13" t="s">
        <v>10</v>
      </c>
      <c r="C13" s="13">
        <v>-0.31913000000000002</v>
      </c>
      <c r="D13" s="13">
        <v>-2.0039999999999999E-2</v>
      </c>
      <c r="E13" s="13">
        <v>-0.11486</v>
      </c>
      <c r="F13" s="20">
        <v>0.85204999999999997</v>
      </c>
      <c r="H13" s="15"/>
      <c r="I13" s="17"/>
      <c r="J13" s="17"/>
      <c r="K13" s="17"/>
      <c r="L13" s="17"/>
      <c r="M13" s="17"/>
    </row>
    <row r="14" spans="1:13">
      <c r="A14" s="13">
        <v>12</v>
      </c>
      <c r="B14" s="13" t="s">
        <v>9</v>
      </c>
      <c r="C14" s="13">
        <v>-5.7189999999999998E-2</v>
      </c>
      <c r="D14" s="13">
        <v>-0.37182999999999999</v>
      </c>
      <c r="E14" s="13">
        <v>-6.166E-2</v>
      </c>
      <c r="F14" s="20">
        <v>0.83769000000000005</v>
      </c>
      <c r="H14" s="15"/>
      <c r="I14" s="17"/>
      <c r="J14" s="17"/>
      <c r="K14" s="17"/>
      <c r="L14" s="17"/>
      <c r="M14" s="17"/>
    </row>
  </sheetData>
  <mergeCells count="1">
    <mergeCell ref="B1:F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C12EE-E83C-814E-99D7-F239DD9296AE}">
  <dimension ref="A1"/>
  <sheetViews>
    <sheetView zoomScaleNormal="100" workbookViewId="0">
      <selection activeCell="G75" sqref="G75"/>
    </sheetView>
  </sheetViews>
  <sheetFormatPr defaultColWidth="11" defaultRowHeight="15.95"/>
  <sheetData/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141ACA-E6A4-7145-9060-FC8E6A9D21DE}">
  <dimension ref="A1"/>
  <sheetViews>
    <sheetView zoomScale="133" workbookViewId="0">
      <selection activeCell="G75" sqref="G75"/>
    </sheetView>
  </sheetViews>
  <sheetFormatPr defaultColWidth="11" defaultRowHeight="15.9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Nwenendah Isaac Dokubo</dc:creator>
  <cp:keywords/>
  <dc:description/>
  <cp:lastModifiedBy/>
  <cp:revision/>
  <dcterms:created xsi:type="dcterms:W3CDTF">2025-12-08T21:11:22Z</dcterms:created>
  <dcterms:modified xsi:type="dcterms:W3CDTF">2025-12-11T23:42:06Z</dcterms:modified>
  <cp:category/>
  <cp:contentStatus/>
</cp:coreProperties>
</file>